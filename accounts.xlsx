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boardcorp-my.sharepoint.com/personal/adriana_hoskins_seaboardcorp_com/Documents/"/>
    </mc:Choice>
  </mc:AlternateContent>
  <xr:revisionPtr revIDLastSave="9" documentId="8_{82D1B25A-68B0-4C89-A0F1-91617A9AC1E7}" xr6:coauthVersionLast="47" xr6:coauthVersionMax="47" xr10:uidLastSave="{58A4668E-F18B-4A89-A159-53A93C070D96}"/>
  <bookViews>
    <workbookView xWindow="43080" yWindow="-120" windowWidth="29040" windowHeight="15720" xr2:uid="{659B0EEB-5764-44E2-89F0-51A69691B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4" i="1" l="1"/>
  <c r="T174" i="1"/>
  <c r="L174" i="1"/>
  <c r="S173" i="1"/>
  <c r="T173" i="1"/>
  <c r="L173" i="1"/>
  <c r="S172" i="1"/>
  <c r="T172" i="1"/>
  <c r="L172" i="1"/>
  <c r="T171" i="1"/>
  <c r="S171" i="1"/>
  <c r="L171" i="1"/>
  <c r="T170" i="1"/>
  <c r="S170" i="1"/>
  <c r="L170" i="1"/>
  <c r="S169" i="1"/>
  <c r="T169" i="1" s="1"/>
  <c r="L169" i="1"/>
  <c r="S168" i="1"/>
  <c r="T168" i="1"/>
  <c r="L168" i="1"/>
  <c r="S167" i="1"/>
  <c r="T167" i="1"/>
  <c r="L167" i="1"/>
  <c r="S166" i="1"/>
  <c r="T166" i="1"/>
  <c r="L166" i="1"/>
  <c r="S165" i="1"/>
  <c r="T165" i="1"/>
  <c r="L165" i="1"/>
  <c r="T164" i="1"/>
  <c r="S164" i="1"/>
  <c r="L164" i="1"/>
  <c r="T163" i="1"/>
  <c r="S163" i="1"/>
  <c r="L163" i="1"/>
  <c r="S162" i="1"/>
  <c r="T162" i="1" s="1"/>
  <c r="L162" i="1"/>
  <c r="S161" i="1"/>
  <c r="T161" i="1"/>
  <c r="L161" i="1"/>
  <c r="S160" i="1"/>
  <c r="T160" i="1"/>
  <c r="L160" i="1"/>
  <c r="S159" i="1"/>
  <c r="T159" i="1"/>
  <c r="L159" i="1"/>
  <c r="S158" i="1"/>
  <c r="T158" i="1"/>
  <c r="L158" i="1"/>
  <c r="T157" i="1"/>
  <c r="S157" i="1"/>
  <c r="L157" i="1"/>
  <c r="T156" i="1"/>
  <c r="S156" i="1"/>
  <c r="L156" i="1"/>
  <c r="S155" i="1"/>
  <c r="T155" i="1" s="1"/>
  <c r="L155" i="1"/>
  <c r="S154" i="1"/>
  <c r="T154" i="1"/>
  <c r="L154" i="1"/>
  <c r="S153" i="1"/>
  <c r="T153" i="1"/>
  <c r="L153" i="1"/>
  <c r="S152" i="1"/>
  <c r="T152" i="1"/>
  <c r="L152" i="1"/>
  <c r="S151" i="1"/>
  <c r="T151" i="1"/>
  <c r="L151" i="1"/>
  <c r="T150" i="1"/>
  <c r="S150" i="1"/>
  <c r="L150" i="1"/>
  <c r="T149" i="1"/>
  <c r="S149" i="1"/>
  <c r="L149" i="1"/>
  <c r="S148" i="1"/>
  <c r="T148" i="1" s="1"/>
  <c r="L148" i="1"/>
  <c r="S147" i="1"/>
  <c r="T147" i="1"/>
  <c r="L147" i="1"/>
  <c r="S146" i="1"/>
  <c r="T146" i="1"/>
  <c r="L146" i="1"/>
  <c r="S145" i="1"/>
  <c r="T145" i="1"/>
  <c r="L145" i="1"/>
  <c r="S144" i="1"/>
  <c r="T144" i="1"/>
  <c r="L144" i="1"/>
  <c r="T143" i="1"/>
  <c r="S143" i="1"/>
  <c r="L143" i="1"/>
  <c r="T142" i="1"/>
  <c r="S142" i="1"/>
  <c r="L142" i="1"/>
  <c r="S141" i="1"/>
  <c r="T141" i="1" s="1"/>
  <c r="L141" i="1"/>
  <c r="S140" i="1"/>
  <c r="T140" i="1"/>
  <c r="L140" i="1"/>
  <c r="S139" i="1"/>
  <c r="T139" i="1"/>
  <c r="L139" i="1"/>
  <c r="S138" i="1"/>
  <c r="T138" i="1"/>
  <c r="L138" i="1"/>
  <c r="S137" i="1"/>
  <c r="T137" i="1"/>
  <c r="L137" i="1"/>
  <c r="T136" i="1"/>
  <c r="S136" i="1"/>
  <c r="L136" i="1"/>
  <c r="T135" i="1"/>
  <c r="S135" i="1"/>
  <c r="L135" i="1"/>
  <c r="S134" i="1"/>
  <c r="T134" i="1" s="1"/>
  <c r="L134" i="1"/>
  <c r="S133" i="1"/>
  <c r="T133" i="1"/>
  <c r="L133" i="1"/>
  <c r="S132" i="1"/>
  <c r="T132" i="1"/>
  <c r="L132" i="1"/>
  <c r="S131" i="1"/>
  <c r="T131" i="1"/>
  <c r="L131" i="1"/>
  <c r="S130" i="1"/>
  <c r="T130" i="1"/>
  <c r="L130" i="1"/>
  <c r="T129" i="1"/>
  <c r="S129" i="1"/>
  <c r="L129" i="1"/>
  <c r="T128" i="1"/>
  <c r="S128" i="1"/>
  <c r="L128" i="1"/>
  <c r="S127" i="1"/>
  <c r="T127" i="1" s="1"/>
  <c r="L127" i="1"/>
  <c r="S126" i="1"/>
  <c r="T126" i="1"/>
  <c r="L126" i="1"/>
  <c r="S125" i="1"/>
  <c r="T125" i="1"/>
  <c r="L125" i="1"/>
  <c r="S124" i="1"/>
  <c r="T124" i="1"/>
  <c r="L124" i="1"/>
  <c r="S123" i="1"/>
  <c r="T123" i="1"/>
  <c r="L123" i="1"/>
  <c r="T122" i="1"/>
  <c r="S122" i="1"/>
  <c r="L122" i="1"/>
  <c r="T121" i="1"/>
  <c r="S121" i="1"/>
  <c r="L121" i="1"/>
  <c r="S120" i="1"/>
  <c r="T120" i="1" s="1"/>
  <c r="L120" i="1"/>
  <c r="S119" i="1"/>
  <c r="T119" i="1"/>
  <c r="L119" i="1"/>
  <c r="S118" i="1"/>
  <c r="T118" i="1"/>
  <c r="L118" i="1"/>
  <c r="S117" i="1"/>
  <c r="T117" i="1"/>
  <c r="L117" i="1"/>
  <c r="S116" i="1"/>
  <c r="T116" i="1"/>
  <c r="L116" i="1"/>
  <c r="T115" i="1"/>
  <c r="S115" i="1"/>
  <c r="L115" i="1"/>
  <c r="T114" i="1"/>
  <c r="S114" i="1"/>
  <c r="L114" i="1"/>
  <c r="S113" i="1"/>
  <c r="T113" i="1" s="1"/>
  <c r="L113" i="1"/>
  <c r="S112" i="1"/>
  <c r="T112" i="1"/>
  <c r="L112" i="1"/>
  <c r="S111" i="1"/>
  <c r="T111" i="1"/>
  <c r="L111" i="1"/>
  <c r="S110" i="1"/>
  <c r="T110" i="1"/>
  <c r="L110" i="1"/>
  <c r="S109" i="1"/>
  <c r="T109" i="1"/>
  <c r="L109" i="1"/>
  <c r="T108" i="1"/>
  <c r="S108" i="1"/>
  <c r="L108" i="1"/>
  <c r="T107" i="1"/>
  <c r="S107" i="1"/>
  <c r="L107" i="1"/>
  <c r="S106" i="1"/>
  <c r="T106" i="1" s="1"/>
  <c r="L106" i="1"/>
  <c r="S105" i="1"/>
  <c r="T105" i="1"/>
  <c r="L105" i="1"/>
  <c r="S104" i="1"/>
  <c r="T104" i="1"/>
  <c r="L104" i="1"/>
  <c r="S103" i="1"/>
  <c r="T103" i="1"/>
  <c r="L103" i="1"/>
  <c r="S102" i="1"/>
  <c r="T102" i="1"/>
  <c r="L102" i="1"/>
  <c r="T101" i="1"/>
  <c r="S101" i="1"/>
  <c r="L101" i="1"/>
  <c r="T100" i="1"/>
  <c r="S100" i="1"/>
  <c r="L100" i="1"/>
  <c r="S99" i="1"/>
  <c r="T99" i="1" s="1"/>
  <c r="L99" i="1"/>
  <c r="S98" i="1"/>
  <c r="T98" i="1"/>
  <c r="L98" i="1"/>
  <c r="S97" i="1"/>
  <c r="T97" i="1"/>
  <c r="L97" i="1"/>
  <c r="S96" i="1"/>
  <c r="T96" i="1"/>
  <c r="L96" i="1"/>
  <c r="S95" i="1"/>
  <c r="T95" i="1"/>
  <c r="L95" i="1"/>
  <c r="T94" i="1"/>
  <c r="S94" i="1"/>
  <c r="L94" i="1"/>
  <c r="T93" i="1"/>
  <c r="S93" i="1"/>
  <c r="L93" i="1"/>
  <c r="S92" i="1"/>
  <c r="T92" i="1" s="1"/>
  <c r="L92" i="1"/>
  <c r="S91" i="1"/>
  <c r="T91" i="1"/>
  <c r="L91" i="1"/>
  <c r="S90" i="1"/>
  <c r="T90" i="1"/>
  <c r="L90" i="1"/>
  <c r="S89" i="1"/>
  <c r="T89" i="1"/>
  <c r="L89" i="1"/>
  <c r="S88" i="1"/>
  <c r="T88" i="1"/>
  <c r="L88" i="1"/>
  <c r="T87" i="1"/>
  <c r="S87" i="1"/>
  <c r="L87" i="1"/>
  <c r="T86" i="1"/>
  <c r="S86" i="1"/>
  <c r="L86" i="1"/>
  <c r="S85" i="1"/>
  <c r="T85" i="1" s="1"/>
  <c r="L85" i="1"/>
  <c r="S84" i="1"/>
  <c r="T84" i="1"/>
  <c r="L84" i="1"/>
  <c r="S83" i="1"/>
  <c r="T83" i="1"/>
  <c r="L83" i="1"/>
  <c r="S82" i="1"/>
  <c r="T82" i="1"/>
  <c r="L82" i="1"/>
  <c r="S81" i="1"/>
  <c r="T81" i="1"/>
  <c r="L81" i="1"/>
  <c r="T80" i="1"/>
  <c r="S80" i="1"/>
  <c r="L80" i="1"/>
  <c r="T79" i="1"/>
  <c r="S79" i="1"/>
  <c r="L79" i="1"/>
  <c r="S78" i="1"/>
  <c r="T78" i="1" s="1"/>
  <c r="L78" i="1"/>
  <c r="S77" i="1"/>
  <c r="T77" i="1"/>
  <c r="L77" i="1"/>
  <c r="S76" i="1"/>
  <c r="T76" i="1"/>
  <c r="L76" i="1"/>
  <c r="S75" i="1"/>
  <c r="T75" i="1"/>
  <c r="L75" i="1"/>
  <c r="S74" i="1"/>
  <c r="T74" i="1"/>
  <c r="L74" i="1"/>
  <c r="T73" i="1"/>
  <c r="S73" i="1"/>
  <c r="L73" i="1"/>
  <c r="T72" i="1"/>
  <c r="S72" i="1"/>
  <c r="L72" i="1"/>
  <c r="S71" i="1"/>
  <c r="T71" i="1" s="1"/>
  <c r="L71" i="1"/>
  <c r="S70" i="1"/>
  <c r="T70" i="1"/>
  <c r="L70" i="1"/>
  <c r="S69" i="1"/>
  <c r="T69" i="1"/>
  <c r="L69" i="1"/>
  <c r="S68" i="1"/>
  <c r="T68" i="1"/>
  <c r="L68" i="1"/>
  <c r="S67" i="1"/>
  <c r="T67" i="1"/>
  <c r="L67" i="1"/>
  <c r="T66" i="1"/>
  <c r="S66" i="1"/>
  <c r="L66" i="1"/>
  <c r="T65" i="1"/>
  <c r="S65" i="1"/>
  <c r="L65" i="1"/>
  <c r="T64" i="1"/>
  <c r="S64" i="1"/>
  <c r="L64" i="1"/>
  <c r="S63" i="1"/>
  <c r="T63" i="1"/>
  <c r="L63" i="1"/>
  <c r="S62" i="1"/>
  <c r="T62" i="1"/>
  <c r="L62" i="1"/>
  <c r="S61" i="1"/>
  <c r="T61" i="1"/>
  <c r="L61" i="1"/>
  <c r="S60" i="1"/>
  <c r="T60" i="1"/>
  <c r="L60" i="1"/>
  <c r="T59" i="1"/>
  <c r="S59" i="1"/>
  <c r="L59" i="1"/>
  <c r="T58" i="1"/>
  <c r="S58" i="1"/>
  <c r="L58" i="1"/>
  <c r="T57" i="1"/>
  <c r="S57" i="1"/>
  <c r="L57" i="1"/>
  <c r="T56" i="1"/>
  <c r="S56" i="1"/>
  <c r="L56" i="1"/>
  <c r="S55" i="1"/>
  <c r="T55" i="1"/>
  <c r="L55" i="1"/>
  <c r="S54" i="1"/>
  <c r="T54" i="1"/>
  <c r="L54" i="1"/>
  <c r="S53" i="1"/>
  <c r="T53" i="1"/>
  <c r="L53" i="1"/>
  <c r="S52" i="1"/>
  <c r="T52" i="1"/>
  <c r="L52" i="1"/>
  <c r="T51" i="1"/>
  <c r="S51" i="1"/>
  <c r="L51" i="1"/>
  <c r="T50" i="1"/>
  <c r="S50" i="1"/>
  <c r="L50" i="1"/>
  <c r="T49" i="1"/>
  <c r="S49" i="1"/>
  <c r="L49" i="1"/>
  <c r="T48" i="1"/>
  <c r="S48" i="1"/>
  <c r="L48" i="1"/>
  <c r="S47" i="1"/>
  <c r="T47" i="1"/>
  <c r="L47" i="1"/>
  <c r="S46" i="1"/>
  <c r="T46" i="1"/>
  <c r="L46" i="1"/>
  <c r="T45" i="1"/>
  <c r="S45" i="1"/>
  <c r="L45" i="1"/>
  <c r="T44" i="1"/>
  <c r="S44" i="1"/>
  <c r="L44" i="1"/>
  <c r="S43" i="1"/>
  <c r="T43" i="1"/>
  <c r="L43" i="1"/>
  <c r="T42" i="1"/>
  <c r="S42" i="1"/>
  <c r="L42" i="1"/>
  <c r="T41" i="1"/>
  <c r="S41" i="1"/>
  <c r="L41" i="1"/>
  <c r="S40" i="1"/>
  <c r="T40" i="1"/>
  <c r="L40" i="1"/>
  <c r="S39" i="1"/>
  <c r="T39" i="1"/>
  <c r="L39" i="1"/>
  <c r="T38" i="1"/>
  <c r="S38" i="1"/>
  <c r="L38" i="1"/>
  <c r="T37" i="1"/>
  <c r="S37" i="1"/>
  <c r="L37" i="1"/>
  <c r="S36" i="1"/>
  <c r="T36" i="1"/>
  <c r="L36" i="1"/>
  <c r="T35" i="1"/>
  <c r="S35" i="1"/>
  <c r="L35" i="1"/>
  <c r="T34" i="1"/>
  <c r="S34" i="1"/>
  <c r="L34" i="1"/>
  <c r="S33" i="1"/>
  <c r="T33" i="1"/>
  <c r="L33" i="1"/>
  <c r="S32" i="1"/>
  <c r="T32" i="1"/>
  <c r="L32" i="1"/>
  <c r="T31" i="1"/>
  <c r="S31" i="1"/>
  <c r="L31" i="1"/>
  <c r="T30" i="1"/>
  <c r="S30" i="1"/>
  <c r="L30" i="1"/>
  <c r="S29" i="1"/>
  <c r="T29" i="1"/>
  <c r="L29" i="1"/>
  <c r="T28" i="1"/>
  <c r="S28" i="1"/>
  <c r="L28" i="1"/>
  <c r="T27" i="1"/>
  <c r="S27" i="1"/>
  <c r="L27" i="1"/>
  <c r="S26" i="1"/>
  <c r="T26" i="1"/>
  <c r="L26" i="1"/>
  <c r="S25" i="1"/>
  <c r="T25" i="1"/>
  <c r="L25" i="1"/>
  <c r="T24" i="1"/>
  <c r="S24" i="1"/>
  <c r="L24" i="1"/>
  <c r="T23" i="1"/>
  <c r="S23" i="1"/>
  <c r="L23" i="1"/>
  <c r="S22" i="1"/>
  <c r="T22" i="1"/>
  <c r="L22" i="1"/>
  <c r="T21" i="1"/>
  <c r="S21" i="1"/>
  <c r="L21" i="1"/>
  <c r="T20" i="1"/>
  <c r="S20" i="1"/>
  <c r="L20" i="1"/>
  <c r="S19" i="1"/>
  <c r="T19" i="1"/>
  <c r="L19" i="1"/>
  <c r="S18" i="1"/>
  <c r="T18" i="1"/>
  <c r="L18" i="1"/>
  <c r="T17" i="1"/>
  <c r="S17" i="1"/>
  <c r="L17" i="1"/>
  <c r="T16" i="1"/>
  <c r="S16" i="1"/>
  <c r="L16" i="1"/>
  <c r="S15" i="1"/>
  <c r="T15" i="1"/>
  <c r="L15" i="1"/>
  <c r="T14" i="1"/>
  <c r="S14" i="1"/>
  <c r="L14" i="1"/>
  <c r="T13" i="1"/>
  <c r="S13" i="1"/>
  <c r="L13" i="1"/>
  <c r="S12" i="1"/>
  <c r="T12" i="1"/>
  <c r="L12" i="1"/>
  <c r="S11" i="1"/>
  <c r="T11" i="1"/>
  <c r="L11" i="1"/>
  <c r="T10" i="1"/>
  <c r="S10" i="1"/>
  <c r="L10" i="1"/>
  <c r="S9" i="1"/>
  <c r="T9" i="1"/>
  <c r="L9" i="1"/>
  <c r="S8" i="1"/>
  <c r="T8" i="1"/>
  <c r="L8" i="1"/>
  <c r="T7" i="1"/>
  <c r="S7" i="1"/>
  <c r="L7" i="1"/>
  <c r="T6" i="1"/>
  <c r="S6" i="1"/>
  <c r="L6" i="1"/>
  <c r="S5" i="1"/>
  <c r="T5" i="1"/>
  <c r="L5" i="1"/>
  <c r="S4" i="1"/>
  <c r="T4" i="1"/>
  <c r="L4" i="1"/>
  <c r="T3" i="1"/>
  <c r="S3" i="1"/>
  <c r="L3" i="1"/>
  <c r="T2" i="1"/>
  <c r="S2" i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tc={C8C7CE2F-2FCC-43E3-BEA3-B39B1D8843B0}</author>
  </authors>
  <commentList>
    <comment ref="O54" authorId="0" shapeId="0" xr:uid="{C8C7CE2F-2FCC-43E3-BEA3-B39B1D8843B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in 2024 or 2025</t>
      </text>
    </comment>
  </commentList>
</comments>
</file>

<file path=xl/sharedStrings.xml><?xml version="1.0" encoding="utf-8"?>
<sst xmlns="http://schemas.openxmlformats.org/spreadsheetml/2006/main" count="2404" uniqueCount="532">
  <si>
    <t>Division</t>
  </si>
  <si>
    <t>Company</t>
  </si>
  <si>
    <t>Country of Company</t>
  </si>
  <si>
    <t>Bank Name</t>
  </si>
  <si>
    <t>Account Name</t>
  </si>
  <si>
    <t>Account Number</t>
  </si>
  <si>
    <t>Account Type</t>
  </si>
  <si>
    <t>Ccy</t>
  </si>
  <si>
    <t>Country of Bank Account</t>
  </si>
  <si>
    <t>Region</t>
  </si>
  <si>
    <t>Country Classification</t>
  </si>
  <si>
    <t>MT940 Status</t>
  </si>
  <si>
    <t>Reports only with Activity?</t>
  </si>
  <si>
    <t>2024 &amp; 2025 Activity Downloaded</t>
  </si>
  <si>
    <t>2024 &amp; 2025 CL Balance Downloaded</t>
  </si>
  <si>
    <t>Sent to Citibank</t>
  </si>
  <si>
    <t>Latest Balance (local ccy)</t>
  </si>
  <si>
    <t>FX Rate</t>
  </si>
  <si>
    <t>Latest Balance (USD)</t>
  </si>
  <si>
    <t>CTM DIVISION</t>
  </si>
  <si>
    <t>Agricare</t>
  </si>
  <si>
    <t>GHANA</t>
  </si>
  <si>
    <t>ABSA GHANA LTD BK</t>
  </si>
  <si>
    <t>Agricare Limited (3472)</t>
  </si>
  <si>
    <t>1023472</t>
  </si>
  <si>
    <t>Current Account (CA)</t>
  </si>
  <si>
    <t>GHS</t>
  </si>
  <si>
    <t>EMEA &amp; APAC</t>
  </si>
  <si>
    <t>No</t>
  </si>
  <si>
    <t>Yes</t>
  </si>
  <si>
    <t>Agricare Limited (7884)</t>
  </si>
  <si>
    <t>1127884</t>
  </si>
  <si>
    <t>USD</t>
  </si>
  <si>
    <t>Agricare Limited (2538)</t>
  </si>
  <si>
    <t>027-1182538</t>
  </si>
  <si>
    <t>ECOBANK GH LTD BK</t>
  </si>
  <si>
    <t>Agricare Limited (3714)</t>
  </si>
  <si>
    <t>1441000303714</t>
  </si>
  <si>
    <t>NATIONAL INV LTD BK</t>
  </si>
  <si>
    <t>Agricare Limited (6301)</t>
  </si>
  <si>
    <t>1132071576301</t>
  </si>
  <si>
    <t>STANBIC GHANA BANK</t>
  </si>
  <si>
    <t>Agricare Limited (7842)</t>
  </si>
  <si>
    <t>9040001737842</t>
  </si>
  <si>
    <t>Agricare Limited (7885)</t>
  </si>
  <si>
    <t>9040001737885</t>
  </si>
  <si>
    <t>Zenith Bank</t>
  </si>
  <si>
    <t>Agricare Limited (7036)</t>
  </si>
  <si>
    <t>0006010517036</t>
  </si>
  <si>
    <t>Agricare Limited (0056)</t>
  </si>
  <si>
    <t>0006040510056</t>
  </si>
  <si>
    <t>Savings Account</t>
  </si>
  <si>
    <t>MOMO</t>
  </si>
  <si>
    <t>Agricare Limited (6665)</t>
  </si>
  <si>
    <t>0552976665</t>
  </si>
  <si>
    <t>WA Collections Only</t>
  </si>
  <si>
    <t>BRAZIL HOLDINGS</t>
  </si>
  <si>
    <t>BRAZIL</t>
  </si>
  <si>
    <t>6516-1</t>
  </si>
  <si>
    <t>BRL</t>
  </si>
  <si>
    <t>AMERICAS (LATAM &amp; NAM)</t>
  </si>
  <si>
    <t>Active</t>
  </si>
  <si>
    <t>CITI US 930</t>
  </si>
  <si>
    <t>Seaboard Brazil Holdings Ltd. (5007)</t>
  </si>
  <si>
    <t>30985007</t>
  </si>
  <si>
    <t>UNITED STATES</t>
  </si>
  <si>
    <t>Beira Grain Terminal</t>
  </si>
  <si>
    <t>MOZAMBIQUE</t>
  </si>
  <si>
    <t>BCI Mozambique</t>
  </si>
  <si>
    <t>Beira Grain Terminal S.A. (0001)</t>
  </si>
  <si>
    <t>1493489710001</t>
  </si>
  <si>
    <t>MZN</t>
  </si>
  <si>
    <t>Beira Grain Terminal S.A. (3001)</t>
  </si>
  <si>
    <t>1493489713001</t>
  </si>
  <si>
    <t>Millennium</t>
  </si>
  <si>
    <t>Beira Grain Terminal SA</t>
  </si>
  <si>
    <t>341670085</t>
  </si>
  <si>
    <t>429986645</t>
  </si>
  <si>
    <t>STANDARD BNK MZ</t>
  </si>
  <si>
    <t>Beira Grain Termina., S.A. (2018)</t>
  </si>
  <si>
    <t>2012443072018</t>
  </si>
  <si>
    <t>2012443072026</t>
  </si>
  <si>
    <t>1200068772</t>
  </si>
  <si>
    <t>1200068384</t>
  </si>
  <si>
    <t>Dalian</t>
  </si>
  <si>
    <t>CHINA</t>
  </si>
  <si>
    <t>Shangai Pudong</t>
  </si>
  <si>
    <t>Dalian Sino Fortune Trading Co., Ltd. ( 4014)</t>
  </si>
  <si>
    <t>75010155300004014</t>
  </si>
  <si>
    <t>CNY</t>
  </si>
  <si>
    <t>Dalian Sino Fortune Trading Co., Ltd. ( 0045)</t>
  </si>
  <si>
    <t>75191455300000045</t>
  </si>
  <si>
    <t>Eurafrique</t>
  </si>
  <si>
    <t>MONACO</t>
  </si>
  <si>
    <t>CITI UK Bank</t>
  </si>
  <si>
    <t>Eurafrique S.A. (3239)</t>
  </si>
  <si>
    <t>11363239</t>
  </si>
  <si>
    <t>CA Virtual</t>
  </si>
  <si>
    <t>EUR</t>
  </si>
  <si>
    <t>UNITED KINGDOM</t>
  </si>
  <si>
    <t>Eurafrique S.A. (3255)</t>
  </si>
  <si>
    <t>11363255</t>
  </si>
  <si>
    <t>BNP Paribas Monaco</t>
  </si>
  <si>
    <t>Eurafrique (3976)</t>
  </si>
  <si>
    <t>MC5830004091700002518503976</t>
  </si>
  <si>
    <t>Eurafrique (3353)</t>
  </si>
  <si>
    <t>MC5830004091700001000283353</t>
  </si>
  <si>
    <t>Eurafrique (3640)</t>
  </si>
  <si>
    <t>917010463640</t>
  </si>
  <si>
    <t>FIRSTRAND - Bank</t>
  </si>
  <si>
    <t>Eurafrique S.A.M (4620)</t>
  </si>
  <si>
    <t>63129484620</t>
  </si>
  <si>
    <t>ZAR</t>
  </si>
  <si>
    <t>SOUTH AFRICA</t>
  </si>
  <si>
    <t>SOCGEN Monaco</t>
  </si>
  <si>
    <t>Eurafrique (5696)</t>
  </si>
  <si>
    <t>MC5830003015040002015145696</t>
  </si>
  <si>
    <t>Eurafrique (3019)</t>
  </si>
  <si>
    <t>MC5830003015040007805353019</t>
  </si>
  <si>
    <t>Eurafrique S.A.M (4745)</t>
  </si>
  <si>
    <t>63129484745</t>
  </si>
  <si>
    <t>Foreign Currency Acc</t>
  </si>
  <si>
    <t>FMOG</t>
  </si>
  <si>
    <t>STANBIC GHANA INVEST</t>
  </si>
  <si>
    <t>Flour Mills of Ghana (6951)</t>
  </si>
  <si>
    <t>9040005856951</t>
  </si>
  <si>
    <t>CA Sweep to Investme</t>
  </si>
  <si>
    <t>Flour Mills of Ghana (4326)</t>
  </si>
  <si>
    <t>9040002444326</t>
  </si>
  <si>
    <t>CA with Overdraft</t>
  </si>
  <si>
    <t>FNB GHANA</t>
  </si>
  <si>
    <t>Flour Mills of Ghana Limited (9597)</t>
  </si>
  <si>
    <t>1020002339597</t>
  </si>
  <si>
    <t>GCB Ghana</t>
  </si>
  <si>
    <t>Flour Mills of Ghana (0486)</t>
  </si>
  <si>
    <t>1101130000486</t>
  </si>
  <si>
    <t>Flour Mills of Ghana (4592)</t>
  </si>
  <si>
    <t>9040003794592</t>
  </si>
  <si>
    <t>Flour Mills of Ghana (2537)</t>
  </si>
  <si>
    <t>6010322537</t>
  </si>
  <si>
    <t>Flour Mills of Ghana Limited (9771)</t>
  </si>
  <si>
    <t>2020002339771</t>
  </si>
  <si>
    <t>Flour Mills of Ghana Limited (9988)</t>
  </si>
  <si>
    <t>3020002339988</t>
  </si>
  <si>
    <t>Flour Mills of Ghana (0014)</t>
  </si>
  <si>
    <t>1109540000014</t>
  </si>
  <si>
    <t>Margin Account</t>
  </si>
  <si>
    <t>Flour Mills of Ghana (2560)</t>
  </si>
  <si>
    <t>6040342560</t>
  </si>
  <si>
    <t>Flour Mills of Ghana Limited (No Number)</t>
  </si>
  <si>
    <t>0000</t>
  </si>
  <si>
    <t>GMA</t>
  </si>
  <si>
    <t>IVORY COAST</t>
  </si>
  <si>
    <t>BOA Ivory Coast</t>
  </si>
  <si>
    <t>Les Grands Moulins d Abidjan (7551)</t>
  </si>
  <si>
    <t>CI0320103000105581027551</t>
  </si>
  <si>
    <t>CA OnlyReports w Act</t>
  </si>
  <si>
    <t>XOF</t>
  </si>
  <si>
    <t>Les Grand Moulin D Abidjan (0149)</t>
  </si>
  <si>
    <t>CI032 01030 005581000149 51</t>
  </si>
  <si>
    <t>CA OnlyRepw Act w OD</t>
  </si>
  <si>
    <t>SIB (IVORIAN BANK)</t>
  </si>
  <si>
    <t>Les Grands Moulins d Abidjan (0043)</t>
  </si>
  <si>
    <t>CI0070103002604570010043</t>
  </si>
  <si>
    <t>SOCGEN Ivory Coast</t>
  </si>
  <si>
    <t>Les Grands Moulins d Abidjan (2797)</t>
  </si>
  <si>
    <t>CI0080727102713006032797</t>
  </si>
  <si>
    <t>AFG BK</t>
  </si>
  <si>
    <t>Les Grands Moulins d Abidjan (0416)</t>
  </si>
  <si>
    <t>CI2600720100340888450416</t>
  </si>
  <si>
    <t>Not Available</t>
  </si>
  <si>
    <t>Bank Atlantique IC</t>
  </si>
  <si>
    <t>Les Grands Moulins d Abidjan (9082)</t>
  </si>
  <si>
    <t>CI0340100101142315489082</t>
  </si>
  <si>
    <t>CITI IVORY COAST</t>
  </si>
  <si>
    <t>Grand Moulin D Abidjan SA (0144)</t>
  </si>
  <si>
    <t>114670001</t>
  </si>
  <si>
    <t>Les Grands Moulins d Abidjan (3961)</t>
  </si>
  <si>
    <t>011182074539 61</t>
  </si>
  <si>
    <t>MTN Mobile FS CI</t>
  </si>
  <si>
    <t>Grands Moulins d'Abidjan Mobile Account</t>
  </si>
  <si>
    <t>2250584506151</t>
  </si>
  <si>
    <t>GMD</t>
  </si>
  <si>
    <t>SENEGAL</t>
  </si>
  <si>
    <t>C.B.A.O. Senegal</t>
  </si>
  <si>
    <t>Les Grands Moulins de Dakar (5028)</t>
  </si>
  <si>
    <t>0120138015055028</t>
  </si>
  <si>
    <t>CA Deposit Only</t>
  </si>
  <si>
    <t>SOCGEN SENEGAL INV</t>
  </si>
  <si>
    <t>Les Grandes Moulins De Dakar (2330)</t>
  </si>
  <si>
    <t>Bank Africa Senegal</t>
  </si>
  <si>
    <t>Les Grands Moulins de Dakar (0004)</t>
  </si>
  <si>
    <t>002504120004</t>
  </si>
  <si>
    <t>CA Reports 2 day Lag</t>
  </si>
  <si>
    <t>BICIS Senegal</t>
  </si>
  <si>
    <t>Les Grands Moulins de Dakar (0036)</t>
  </si>
  <si>
    <t>SN08SN0100152801147007000381</t>
  </si>
  <si>
    <t>Citi Senegal Bank</t>
  </si>
  <si>
    <t>Les Grands Moulins de Dakar (5001)</t>
  </si>
  <si>
    <t>0100165001</t>
  </si>
  <si>
    <t>SOCGEN SENEGAL BNK</t>
  </si>
  <si>
    <t>Les Grands Moulins de Dakar (2337)</t>
  </si>
  <si>
    <t>005000802337</t>
  </si>
  <si>
    <t>Bank Atlantique SN</t>
  </si>
  <si>
    <t>Les Grands Moulins de Dakar (0002)</t>
  </si>
  <si>
    <t>082500020002</t>
  </si>
  <si>
    <t>Les Grands Moulins de Dakar (1297)</t>
  </si>
  <si>
    <t>020136011297</t>
  </si>
  <si>
    <t>STANBIC IVORY COAST</t>
  </si>
  <si>
    <t>Les Grands Moulins de Dakar (9134)</t>
  </si>
  <si>
    <t>CI1980100191800002469134</t>
  </si>
  <si>
    <t>INTECH</t>
  </si>
  <si>
    <t>Les Grands Moulins de Dakar (5056)</t>
  </si>
  <si>
    <t>5056</t>
  </si>
  <si>
    <t>Wallet Account (WA)</t>
  </si>
  <si>
    <t>GMPN</t>
  </si>
  <si>
    <t>CONGO (DRC)</t>
  </si>
  <si>
    <t>BOA Congo</t>
  </si>
  <si>
    <t>Les Grands Moulins de Pointe Noire</t>
  </si>
  <si>
    <t>30012 00105 10804301101 66</t>
  </si>
  <si>
    <t>XAF</t>
  </si>
  <si>
    <t>BGFI Congo</t>
  </si>
  <si>
    <t>CG39300080320000072004201-96</t>
  </si>
  <si>
    <t>CREDIT DU CONGO</t>
  </si>
  <si>
    <t>30011 00010 10029463000 26</t>
  </si>
  <si>
    <t>30011 00010 10029463001 23</t>
  </si>
  <si>
    <t>AIRTEL CONGO</t>
  </si>
  <si>
    <t>Airtel Congo SA (5694)</t>
  </si>
  <si>
    <t>055605694</t>
  </si>
  <si>
    <t>HAP</t>
  </si>
  <si>
    <t>HAITI</t>
  </si>
  <si>
    <t>HAITI AGRO PROCESSORS HOLDINGS</t>
  </si>
  <si>
    <t>30955684</t>
  </si>
  <si>
    <t>IAG</t>
  </si>
  <si>
    <t>CITI SOUTH AFRICA</t>
  </si>
  <si>
    <t>InterAfrica Grains Payroll (3457)</t>
  </si>
  <si>
    <t>201313457</t>
  </si>
  <si>
    <t>CA Payroll Only</t>
  </si>
  <si>
    <t>InterAfrica Grains (Proprietary) Limited (3007)</t>
  </si>
  <si>
    <t>201313007</t>
  </si>
  <si>
    <t>InterAfrica Grains (Pty) Ltd. (1953)</t>
  </si>
  <si>
    <t>62044701953</t>
  </si>
  <si>
    <t>LFM Nigeria</t>
  </si>
  <si>
    <t>NIGERIA</t>
  </si>
  <si>
    <t>FIDELITY BK</t>
  </si>
  <si>
    <t>Life Flour Mill Limited (0556)</t>
  </si>
  <si>
    <t>4010550556</t>
  </si>
  <si>
    <t>NGN</t>
  </si>
  <si>
    <t>ZENITH NG BK</t>
  </si>
  <si>
    <t>Life Flour Mill Limited (1710)</t>
  </si>
  <si>
    <t>1010011710</t>
  </si>
  <si>
    <t>ACCESS NG BK</t>
  </si>
  <si>
    <t>Life Flour Mill Limited (7895)</t>
  </si>
  <si>
    <t>0001987895</t>
  </si>
  <si>
    <t>Life Flour Mill Limited (8905)</t>
  </si>
  <si>
    <t>0728818905</t>
  </si>
  <si>
    <t>Life Flour Mill Limited (2285)</t>
  </si>
  <si>
    <t>0001952285</t>
  </si>
  <si>
    <t>FCM BK</t>
  </si>
  <si>
    <t>Life Flour Mill Limited (7011)</t>
  </si>
  <si>
    <t>0131297011</t>
  </si>
  <si>
    <t>Life Flour Mill Limited (7121)</t>
  </si>
  <si>
    <t>0131297121</t>
  </si>
  <si>
    <t>Life Flour Mill Limited (4285)</t>
  </si>
  <si>
    <t>5090314285</t>
  </si>
  <si>
    <t>FIRST NG BK</t>
  </si>
  <si>
    <t>Life Flour Mill Limited (9884)</t>
  </si>
  <si>
    <t>2003979884</t>
  </si>
  <si>
    <t>GUARANTY TRUST BK</t>
  </si>
  <si>
    <t>Life Flour Mill Limited (1474)</t>
  </si>
  <si>
    <t>0047151474</t>
  </si>
  <si>
    <t>Life Flour Mill Limited (2772)</t>
  </si>
  <si>
    <t>0004182772</t>
  </si>
  <si>
    <t>STANBIC NG BK</t>
  </si>
  <si>
    <t>Life Flour Mill Limited (2986)</t>
  </si>
  <si>
    <t>0021142986</t>
  </si>
  <si>
    <t>Life Flour Mill Limited (3000)</t>
  </si>
  <si>
    <t>0021143000</t>
  </si>
  <si>
    <t>United Bank</t>
  </si>
  <si>
    <t>Life Flour Mill Limited (6707)</t>
  </si>
  <si>
    <t>1000016707</t>
  </si>
  <si>
    <t>Life Flour Mill Limited (5053)</t>
  </si>
  <si>
    <t>3002045053</t>
  </si>
  <si>
    <t>Life Flour Mill Limited (3696)</t>
  </si>
  <si>
    <t>1010753696</t>
  </si>
  <si>
    <t>Life Flour Mill Limited (6724)</t>
  </si>
  <si>
    <t>5070636724</t>
  </si>
  <si>
    <t>MOCHASA</t>
  </si>
  <si>
    <t>ECUADOR</t>
  </si>
  <si>
    <t>BANCO BOLIVARIANO</t>
  </si>
  <si>
    <t>Molinos Champion SAS (5578)</t>
  </si>
  <si>
    <t>0005025578</t>
  </si>
  <si>
    <t>Molinos Champion SAS (6465)</t>
  </si>
  <si>
    <t>0000106465</t>
  </si>
  <si>
    <t>BANCO DEL PACIFICO</t>
  </si>
  <si>
    <t>Molinos Champion SAS (3310)</t>
  </si>
  <si>
    <t>00023310</t>
  </si>
  <si>
    <t>BANCO INTERNACIONAL</t>
  </si>
  <si>
    <t>Molinos Champion SAS (9101)</t>
  </si>
  <si>
    <t>1000639101</t>
  </si>
  <si>
    <t>BANCO PICHINCHA</t>
  </si>
  <si>
    <t>Molinos Champion SAS (0504)</t>
  </si>
  <si>
    <t>3128340504</t>
  </si>
  <si>
    <t>Molinos Champion SAS (6704)</t>
  </si>
  <si>
    <t>3131786704</t>
  </si>
  <si>
    <t>CITI ECUADOR</t>
  </si>
  <si>
    <t>Molinos Champion Mochasa SAS (7009)</t>
  </si>
  <si>
    <t>0001337009</t>
  </si>
  <si>
    <t>PRODUBANCO BK</t>
  </si>
  <si>
    <t>Molinos Champion Mochasa S.A.S. (6807)</t>
  </si>
  <si>
    <t>01006006807</t>
  </si>
  <si>
    <t>Molinos Champion Mochasa S.A.S. (5157)</t>
  </si>
  <si>
    <t>00010085157</t>
  </si>
  <si>
    <t>NAMILCO</t>
  </si>
  <si>
    <t>GUYANA</t>
  </si>
  <si>
    <t>SCOTIA GUYANA</t>
  </si>
  <si>
    <t>National Milling Company of Guyana Inc.</t>
  </si>
  <si>
    <t>57518</t>
  </si>
  <si>
    <t>GYD</t>
  </si>
  <si>
    <t>60075</t>
  </si>
  <si>
    <t>GUYANA BANK</t>
  </si>
  <si>
    <t>National Milling Company of Guyana, Inc. (9018)</t>
  </si>
  <si>
    <t>002160409018</t>
  </si>
  <si>
    <t>NMC</t>
  </si>
  <si>
    <t>ZAMBIA</t>
  </si>
  <si>
    <t>ATLAS MARA</t>
  </si>
  <si>
    <t>0230440807018</t>
  </si>
  <si>
    <t>CA Sweep to CA</t>
  </si>
  <si>
    <t>ZMW</t>
  </si>
  <si>
    <t>0010437358019</t>
  </si>
  <si>
    <t>Absa Zambia Bank</t>
  </si>
  <si>
    <t>National Milling Corporation Limited (3280)</t>
  </si>
  <si>
    <t>ZMB0162163280</t>
  </si>
  <si>
    <t>National Milling Corporation Limited (0684)</t>
  </si>
  <si>
    <t>ZMB0161210684</t>
  </si>
  <si>
    <t>STANBIC ZAMBIA</t>
  </si>
  <si>
    <t>National Milling Corporation Limited (9586)</t>
  </si>
  <si>
    <t>9130001759586</t>
  </si>
  <si>
    <t>National Milling Corporation Limited (6575)</t>
  </si>
  <si>
    <t>9130001456575</t>
  </si>
  <si>
    <t>National Milling Corporation Limited (2252)</t>
  </si>
  <si>
    <t>9130003312252</t>
  </si>
  <si>
    <t>National Milling Corporation Limited (3682)</t>
  </si>
  <si>
    <t>9130000993682</t>
  </si>
  <si>
    <t>0340455078103</t>
  </si>
  <si>
    <t>0010437358008</t>
  </si>
  <si>
    <t>NATIONAL MILLING CORPORATIONLIMITED (8012)</t>
  </si>
  <si>
    <t>0340455078012</t>
  </si>
  <si>
    <t>National Milling Corporation Limited (2508)</t>
  </si>
  <si>
    <t>6552508</t>
  </si>
  <si>
    <t>National Milling Corporation Limited (5611)</t>
  </si>
  <si>
    <t>ZMB0351025611</t>
  </si>
  <si>
    <t>National Milling Corporation Limited (6689)</t>
  </si>
  <si>
    <t>9130001196689</t>
  </si>
  <si>
    <t>National Milling Corporation Limited (2158)</t>
  </si>
  <si>
    <t>9130002122158</t>
  </si>
  <si>
    <t>National Milling Corporation Limited (2515)</t>
  </si>
  <si>
    <t>9130006922515</t>
  </si>
  <si>
    <t>ZANACO</t>
  </si>
  <si>
    <t>National Milling Corporation Limited</t>
  </si>
  <si>
    <t>0460124500146</t>
  </si>
  <si>
    <t>National Milling Corporation Limited (9714)</t>
  </si>
  <si>
    <t>ZMB0011019714</t>
  </si>
  <si>
    <t>Paramount Mills</t>
  </si>
  <si>
    <t>STANDARD SA Bank</t>
  </si>
  <si>
    <t>Paramount Mills (Proprietary) Limited (4379)</t>
  </si>
  <si>
    <t>544379</t>
  </si>
  <si>
    <t>Call</t>
  </si>
  <si>
    <t>Paramount Mills (Proprietary) Limited (5342)</t>
  </si>
  <si>
    <t>081115342</t>
  </si>
  <si>
    <t>Pativoire</t>
  </si>
  <si>
    <t>Pativoire (0002)</t>
  </si>
  <si>
    <t>06802590002</t>
  </si>
  <si>
    <t>SBD SC INDIA PVT LTD</t>
  </si>
  <si>
    <t>INDIA</t>
  </si>
  <si>
    <t>CITI INDIA</t>
  </si>
  <si>
    <t>Seaboard Special Crops India Private Ltd (9009)</t>
  </si>
  <si>
    <t>520849009</t>
  </si>
  <si>
    <t>INR</t>
  </si>
  <si>
    <t>Seaboard Special Crops India Private Ltd (9017)</t>
  </si>
  <si>
    <t>520849017</t>
  </si>
  <si>
    <t>SBS</t>
  </si>
  <si>
    <t>BERMUDA</t>
  </si>
  <si>
    <t>PIRAEUS</t>
  </si>
  <si>
    <t>Seaboard Bulk Services Ltd. (3090)</t>
  </si>
  <si>
    <t>5176044663090</t>
  </si>
  <si>
    <t>GREECE</t>
  </si>
  <si>
    <t>SEARICE CARIBBEAN</t>
  </si>
  <si>
    <t>SeaRice Caribbean Inc. (5018)</t>
  </si>
  <si>
    <t>011801615018</t>
  </si>
  <si>
    <t>SEEPC</t>
  </si>
  <si>
    <t>Keystone Bank</t>
  </si>
  <si>
    <t>SEEPC Nigeria Limited</t>
  </si>
  <si>
    <t>1005335201</t>
  </si>
  <si>
    <t>SOC</t>
  </si>
  <si>
    <t>COLOMBIA</t>
  </si>
  <si>
    <t>36389599</t>
  </si>
  <si>
    <t>Seaboard Overseas Colombia SAS (8022)</t>
  </si>
  <si>
    <t>049268022</t>
  </si>
  <si>
    <t>COP</t>
  </si>
  <si>
    <t>CITI COLOMBIA</t>
  </si>
  <si>
    <t>Seaboard Overseas Colombia SAS (7105)</t>
  </si>
  <si>
    <t>70567105</t>
  </si>
  <si>
    <t>SOL</t>
  </si>
  <si>
    <t>Seaboard Overseas Limited (5188)</t>
  </si>
  <si>
    <t>6518-8</t>
  </si>
  <si>
    <t>ISLE OF MAN</t>
  </si>
  <si>
    <t>Citibank Korea</t>
  </si>
  <si>
    <t>5044276005</t>
  </si>
  <si>
    <t>KRW</t>
  </si>
  <si>
    <t>SOUTH KOREA</t>
  </si>
  <si>
    <t>5044276013</t>
  </si>
  <si>
    <t>Seaboard Overseas Limited (4039)</t>
  </si>
  <si>
    <t>63033644039</t>
  </si>
  <si>
    <t>STANDARD BNK IOM</t>
  </si>
  <si>
    <t>Seaboard Overseas Limited (4869)</t>
  </si>
  <si>
    <t>12674869</t>
  </si>
  <si>
    <t>GBP</t>
  </si>
  <si>
    <t>Seaboard Overseas Limited (6044)</t>
  </si>
  <si>
    <t>63035116044</t>
  </si>
  <si>
    <t>Seaboard Overseas Limited (6549)</t>
  </si>
  <si>
    <t>63035116549</t>
  </si>
  <si>
    <t>SOL China</t>
  </si>
  <si>
    <t>Seaboard Overseas Limited China Co (6956)</t>
  </si>
  <si>
    <t>75010078814000006956</t>
  </si>
  <si>
    <t>Seaboard Overseas Limited China Co (6952)</t>
  </si>
  <si>
    <t>75010078801700006952</t>
  </si>
  <si>
    <t>Seaboard Overseas Limited China Co (6984)</t>
  </si>
  <si>
    <t>75010078814400006984</t>
  </si>
  <si>
    <t>SOL KENYA</t>
  </si>
  <si>
    <t>KENYA</t>
  </si>
  <si>
    <t>CITI KENYA</t>
  </si>
  <si>
    <t>Seaboard Overseas (Kenya) Limited (5003)</t>
  </si>
  <si>
    <t>104445003</t>
  </si>
  <si>
    <t>KES</t>
  </si>
  <si>
    <t>SOMC</t>
  </si>
  <si>
    <t>Seaboard Overseas Management Company Ltd. (5045)</t>
  </si>
  <si>
    <t>31365045</t>
  </si>
  <si>
    <t>Citi Ireland Bank</t>
  </si>
  <si>
    <t>Seaboard Overseas Management Company, Ltd.</t>
  </si>
  <si>
    <t>0029120218</t>
  </si>
  <si>
    <t>IRELAND</t>
  </si>
  <si>
    <t>BNYM US</t>
  </si>
  <si>
    <t>8900478462</t>
  </si>
  <si>
    <t>SOMETRA</t>
  </si>
  <si>
    <t>Societe Mediterraneenne de Transport (4376)</t>
  </si>
  <si>
    <t>MC5830004091700001046354376</t>
  </si>
  <si>
    <t>Societe Mediterraneenne de Transport (1676)</t>
  </si>
  <si>
    <t>MC5830004091700002509851576</t>
  </si>
  <si>
    <t>Societe Mediterraneenne de Transport (4753)</t>
  </si>
  <si>
    <t>MC5830004091700001003794753</t>
  </si>
  <si>
    <t>Societe Mediterraneenne de Transport (1145)</t>
  </si>
  <si>
    <t>MC5830003015040002015671145</t>
  </si>
  <si>
    <t>Societe Mediterraneenne de Transport (9160)</t>
  </si>
  <si>
    <t>MC5830003015040007805649160</t>
  </si>
  <si>
    <t>SOP</t>
  </si>
  <si>
    <t>PERU</t>
  </si>
  <si>
    <t>BANCO DE CREDITO</t>
  </si>
  <si>
    <t>Seaboard Overseas Peru S.A. (5084)</t>
  </si>
  <si>
    <t>1931087375084</t>
  </si>
  <si>
    <t>PEN</t>
  </si>
  <si>
    <t>Seaboard Overseas Peru S.A. (3159)</t>
  </si>
  <si>
    <t>1930136823159</t>
  </si>
  <si>
    <t>BANCO NACION PE</t>
  </si>
  <si>
    <t>Seaboard Overseas Peru S.A. (8463)</t>
  </si>
  <si>
    <t>00000308463</t>
  </si>
  <si>
    <t>BBVA Bank</t>
  </si>
  <si>
    <t>Seaboard Overseas Peru S.A.</t>
  </si>
  <si>
    <t>001103620100012676</t>
  </si>
  <si>
    <t>Seaboard Overseas Peru S.A. (0282)</t>
  </si>
  <si>
    <t>001103620100010282</t>
  </si>
  <si>
    <t>INTERBANK Peru Bank</t>
  </si>
  <si>
    <t>Seaboard Overseas Peru S.A. (5925)</t>
  </si>
  <si>
    <t>2003001315925</t>
  </si>
  <si>
    <t>Seaboard Overseas Peru S.A. (1550)</t>
  </si>
  <si>
    <t>1000008231550</t>
  </si>
  <si>
    <t>Scotia Peru Bank</t>
  </si>
  <si>
    <t>Seaboard Overseas Peru S.A. (7462)</t>
  </si>
  <si>
    <t>0008117462</t>
  </si>
  <si>
    <t>Seaboard Overseas Peru S.A. (3747)</t>
  </si>
  <si>
    <t>0010183747</t>
  </si>
  <si>
    <t>SOS</t>
  </si>
  <si>
    <t>Seaboard Overseas Senegal SA (0002)</t>
  </si>
  <si>
    <t>SOTS</t>
  </si>
  <si>
    <t>Seaboard Overseas Trading &amp; Shipping (Pty) (4255)</t>
  </si>
  <si>
    <t>201014255</t>
  </si>
  <si>
    <t>Seaboard Overseas Trading &amp; Shipping (Pty) (4018)</t>
  </si>
  <si>
    <t>0201014018</t>
  </si>
  <si>
    <t>Seaboard Overseas Trading &amp; Shipping (Pty) (9859)</t>
  </si>
  <si>
    <t>51659859</t>
  </si>
  <si>
    <t>Seaboard Overseas Trading &amp; Shipping (Pty)Ltd 8493</t>
  </si>
  <si>
    <t>50840168493</t>
  </si>
  <si>
    <t>Seaboard Overseas Trading &amp; Shipping (Pty) (4026)</t>
  </si>
  <si>
    <t>0201014026</t>
  </si>
  <si>
    <t>Seaboard Overseas Trading &amp; Shipping (Pty)Ltd 1023</t>
  </si>
  <si>
    <t>090121023</t>
  </si>
  <si>
    <t>Seaboard Overseas Trading &amp; Shipping (Pty) (1466)</t>
  </si>
  <si>
    <t>090911466</t>
  </si>
  <si>
    <t>Seaboard Industrial</t>
  </si>
  <si>
    <t>Seaboard Industrial S.A.C. (5235)</t>
  </si>
  <si>
    <t>00-048-265235</t>
  </si>
  <si>
    <t>Seaboard Industrial S.A.C. (8012)</t>
  </si>
  <si>
    <t>191-7217438-0-12</t>
  </si>
  <si>
    <t>In Process</t>
  </si>
  <si>
    <t>Seaboard Industrial S.A.C. (1151)</t>
  </si>
  <si>
    <t>191-7217421-1-51</t>
  </si>
  <si>
    <t>UAG</t>
  </si>
  <si>
    <t>United African Grain Zambia Limited (3419)</t>
  </si>
  <si>
    <t>9130005773419</t>
  </si>
  <si>
    <t>United African Grain Zambia Limited (3435)</t>
  </si>
  <si>
    <t>9130005773435</t>
  </si>
  <si>
    <t>United African Grain Zambia Limited (3478)</t>
  </si>
  <si>
    <t>9130005773478</t>
  </si>
  <si>
    <t>Zenith Nigeria</t>
  </si>
  <si>
    <t>Zenith Investment Limited (6155)</t>
  </si>
  <si>
    <t>0004196155</t>
  </si>
  <si>
    <t>Zenith Investment Limited (8942)</t>
  </si>
  <si>
    <t>0260068942</t>
  </si>
  <si>
    <t>Zenith Investment Limited (4007)</t>
  </si>
  <si>
    <t>0223014007</t>
  </si>
  <si>
    <t>SN011 01005 005000041200 02</t>
  </si>
  <si>
    <t>BANCO BRADESCO</t>
  </si>
  <si>
    <t>BANCO DE BOGOTA</t>
  </si>
  <si>
    <t>Seaboard Brazil Holdings Ltd. (5161)</t>
  </si>
  <si>
    <t>Beira Grain Terminal S.A. (2026)</t>
  </si>
  <si>
    <t>National Milling Corporation Limited (7018)</t>
  </si>
  <si>
    <t>National Milling Corporation Limited (8019)</t>
  </si>
  <si>
    <t>National Milling Corporation Limited (8103)</t>
  </si>
  <si>
    <t>National Milling Corporation Limited (8008)</t>
  </si>
  <si>
    <t>Seaboard Overseas Colombia SAS (9599)</t>
  </si>
  <si>
    <t>Seaboard Overseas Limited (6005)</t>
  </si>
  <si>
    <t>Seaboard Overseas Limited (6013)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</si>
</sst>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1"/>
      <name val="Aptos Narrow"/>
      <family val="2"/>
      <scheme val="minor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E6C200"/>
        <bgColor rgb="FF000000"/>
      </patternFill>
    </fill>
    <fill>
      <patternFill patternType="solid">
        <fgColor rgb="FFE6C2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9" fillId="0" borderId="0" xfId="0" applyFont="1" applyAlignment="1">
      <alignment horizontal="center"/>
    </xf>
    <xf numFmtId="0" fontId="2" fillId="0" borderId="0" xfId="0" applyFont="1"/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rner, Ashley" id="{5E7A91AF-4E33-4AF4-A315-66E8C7F9CCEA}" userId="S::Ashley.Warner@seaboardcorp.com::31f4a056-64da-4505-8915-49cf6346883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54" dT="2026-01-30T18:01:54.34" personId="{5E7A91AF-4E33-4AF4-A315-66E8C7F9CCEA}" id="{C8C7CE2F-2FCC-43E3-BEA3-B39B1D8843B0}">
    <text>No data in 2024 or 2025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2FF4-4E4F-49A2-854B-816E3EABB675}">
  <dimension ref="A1:T174"/>
  <sheetViews>
    <sheetView tabSelected="1" topLeftCell="A101" workbookViewId="0">
      <selection sqref="A1:XFD1048576"/>
    </sheetView>
  </sheetViews>
  <sheetFormatPr defaultRowHeight="14.25" x14ac:dyDescent="0.45"/>
  <cols>
    <col min="1" max="1" width="13.46484375" bestFit="1" customWidth="1"/>
    <col min="2" max="2" width="21.73046875" bestFit="1" customWidth="1"/>
    <col min="3" max="3" width="14.73046875" bestFit="1" customWidth="1"/>
    <col min="4" max="4" width="23.53125" bestFit="1" customWidth="1"/>
    <col min="5" max="5" width="47.53125" bestFit="1" customWidth="1"/>
    <col min="6" max="6" width="30.796875" bestFit="1" customWidth="1"/>
    <col min="7" max="7" width="30.796875" customWidth="1"/>
    <col min="8" max="8" width="21.796875" bestFit="1" customWidth="1"/>
    <col min="9" max="9" width="7.19921875" bestFit="1" customWidth="1"/>
    <col min="10" max="10" width="20.73046875" bestFit="1" customWidth="1"/>
    <col min="11" max="11" width="25.73046875" bestFit="1" customWidth="1"/>
    <col min="12" max="12" width="25.73046875" customWidth="1"/>
    <col min="13" max="13" width="19" bestFit="1" customWidth="1"/>
    <col min="14" max="14" width="15.53125" style="13" customWidth="1"/>
    <col min="15" max="15" width="22.19921875" style="13" customWidth="1"/>
    <col min="16" max="16" width="20.73046875" customWidth="1"/>
    <col min="17" max="17" width="9.06640625" style="13"/>
    <col min="18" max="18" width="16.796875" bestFit="1" customWidth="1"/>
    <col min="19" max="19" width="16.796875" customWidth="1"/>
    <col min="20" max="20" width="16.796875" bestFit="1" customWidth="1"/>
  </cols>
  <sheetData>
    <row r="1" spans="1:20" ht="26.25" x14ac:dyDescent="0.4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3" t="s">
        <v>8</v>
      </c>
      <c r="K1" s="4" t="s">
        <v>9</v>
      </c>
      <c r="L1" s="4" t="s">
        <v>10</v>
      </c>
      <c r="M1" s="5" t="s">
        <v>11</v>
      </c>
      <c r="N1" s="5" t="s">
        <v>12</v>
      </c>
      <c r="O1" s="6" t="s">
        <v>13</v>
      </c>
      <c r="P1" s="6" t="s">
        <v>14</v>
      </c>
      <c r="Q1" s="7" t="s">
        <v>15</v>
      </c>
      <c r="R1" s="8" t="s">
        <v>16</v>
      </c>
      <c r="S1" s="8" t="s">
        <v>17</v>
      </c>
      <c r="T1" s="8" t="s">
        <v>18</v>
      </c>
    </row>
    <row r="2" spans="1:20" x14ac:dyDescent="0.45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>
        <v>1023472</v>
      </c>
      <c r="H2" s="9" t="s">
        <v>25</v>
      </c>
      <c r="I2" s="9" t="s">
        <v>26</v>
      </c>
      <c r="J2" s="9" t="s">
        <v>21</v>
      </c>
      <c r="K2" s="9" t="s">
        <v>27</v>
      </c>
      <c r="L2" s="9" t="e">
        <f>VLOOKUP(J2,#REF!,2,FALSE)</f>
        <v>#REF!</v>
      </c>
      <c r="M2" s="10"/>
      <c r="N2" s="11" t="s">
        <v>28</v>
      </c>
      <c r="O2" s="12"/>
      <c r="P2" s="13" t="s">
        <v>29</v>
      </c>
      <c r="Q2" s="13" t="s">
        <v>28</v>
      </c>
      <c r="R2" s="14">
        <v>4548743.22</v>
      </c>
      <c r="S2" s="14" t="e">
        <f>VLOOKUP(I2,#REF!,2,FALSE)</f>
        <v>#REF!</v>
      </c>
      <c r="T2" s="14" t="e">
        <f>R2/S2</f>
        <v>#REF!</v>
      </c>
    </row>
    <row r="3" spans="1:20" x14ac:dyDescent="0.45">
      <c r="A3" s="9" t="s">
        <v>19</v>
      </c>
      <c r="B3" s="9" t="s">
        <v>20</v>
      </c>
      <c r="C3" s="9" t="s">
        <v>21</v>
      </c>
      <c r="D3" s="9" t="s">
        <v>22</v>
      </c>
      <c r="E3" s="9" t="s">
        <v>30</v>
      </c>
      <c r="F3" s="9" t="s">
        <v>31</v>
      </c>
      <c r="G3" s="9">
        <v>1127884</v>
      </c>
      <c r="H3" s="9" t="s">
        <v>25</v>
      </c>
      <c r="I3" s="9" t="s">
        <v>32</v>
      </c>
      <c r="J3" s="9" t="s">
        <v>21</v>
      </c>
      <c r="K3" s="9" t="s">
        <v>27</v>
      </c>
      <c r="L3" s="9" t="e">
        <f>VLOOKUP(J3,#REF!,2,FALSE)</f>
        <v>#REF!</v>
      </c>
      <c r="M3" s="9"/>
      <c r="N3" s="11" t="s">
        <v>28</v>
      </c>
      <c r="O3" s="12"/>
      <c r="P3" s="13" t="s">
        <v>29</v>
      </c>
      <c r="Q3" s="13" t="s">
        <v>28</v>
      </c>
      <c r="R3" s="14">
        <v>6315.65</v>
      </c>
      <c r="S3" s="14" t="e">
        <f>VLOOKUP(I3,#REF!,2,FALSE)</f>
        <v>#REF!</v>
      </c>
      <c r="T3" s="14" t="e">
        <f t="shared" ref="T3:T66" si="0">R3/S3</f>
        <v>#REF!</v>
      </c>
    </row>
    <row r="4" spans="1:20" x14ac:dyDescent="0.45">
      <c r="A4" s="9" t="s">
        <v>19</v>
      </c>
      <c r="B4" s="9" t="s">
        <v>20</v>
      </c>
      <c r="C4" s="9" t="s">
        <v>21</v>
      </c>
      <c r="D4" s="9" t="s">
        <v>22</v>
      </c>
      <c r="E4" s="9" t="s">
        <v>33</v>
      </c>
      <c r="F4" s="9" t="s">
        <v>34</v>
      </c>
      <c r="G4" s="9" t="s">
        <v>34</v>
      </c>
      <c r="H4" s="9" t="s">
        <v>25</v>
      </c>
      <c r="I4" s="9" t="s">
        <v>26</v>
      </c>
      <c r="J4" s="9" t="s">
        <v>21</v>
      </c>
      <c r="K4" s="9" t="s">
        <v>27</v>
      </c>
      <c r="L4" s="9" t="e">
        <f>VLOOKUP(J4,#REF!,2,FALSE)</f>
        <v>#REF!</v>
      </c>
      <c r="M4" s="9"/>
      <c r="N4" s="11" t="s">
        <v>28</v>
      </c>
      <c r="O4" s="12"/>
      <c r="P4" s="13" t="s">
        <v>28</v>
      </c>
      <c r="Q4" s="13" t="s">
        <v>28</v>
      </c>
      <c r="R4" s="14" t="e">
        <v>#N/A</v>
      </c>
      <c r="S4" s="14" t="e">
        <f>VLOOKUP(I4,#REF!,2,FALSE)</f>
        <v>#REF!</v>
      </c>
      <c r="T4" s="14" t="e">
        <f t="shared" si="0"/>
        <v>#N/A</v>
      </c>
    </row>
    <row r="5" spans="1:20" x14ac:dyDescent="0.45">
      <c r="A5" s="9" t="s">
        <v>19</v>
      </c>
      <c r="B5" s="9" t="s">
        <v>20</v>
      </c>
      <c r="C5" s="9" t="s">
        <v>21</v>
      </c>
      <c r="D5" s="9" t="s">
        <v>35</v>
      </c>
      <c r="E5" s="9" t="s">
        <v>36</v>
      </c>
      <c r="F5" s="9" t="s">
        <v>37</v>
      </c>
      <c r="G5" s="9">
        <v>1441000303714</v>
      </c>
      <c r="H5" s="9" t="s">
        <v>25</v>
      </c>
      <c r="I5" s="9" t="s">
        <v>26</v>
      </c>
      <c r="J5" s="9" t="s">
        <v>21</v>
      </c>
      <c r="K5" s="9" t="s">
        <v>27</v>
      </c>
      <c r="L5" s="9" t="e">
        <f>VLOOKUP(J5,#REF!,2,FALSE)</f>
        <v>#REF!</v>
      </c>
      <c r="M5" s="9"/>
      <c r="N5" s="11" t="s">
        <v>28</v>
      </c>
      <c r="O5" s="12"/>
      <c r="P5" s="13" t="s">
        <v>29</v>
      </c>
      <c r="Q5" s="13" t="s">
        <v>28</v>
      </c>
      <c r="R5" s="14">
        <v>97642.91</v>
      </c>
      <c r="S5" s="14" t="e">
        <f>VLOOKUP(I5,#REF!,2,FALSE)</f>
        <v>#REF!</v>
      </c>
      <c r="T5" s="14" t="e">
        <f t="shared" si="0"/>
        <v>#REF!</v>
      </c>
    </row>
    <row r="6" spans="1:20" x14ac:dyDescent="0.45">
      <c r="A6" s="9" t="s">
        <v>19</v>
      </c>
      <c r="B6" s="9" t="s">
        <v>20</v>
      </c>
      <c r="C6" s="9" t="s">
        <v>21</v>
      </c>
      <c r="D6" s="9" t="s">
        <v>38</v>
      </c>
      <c r="E6" s="9" t="s">
        <v>39</v>
      </c>
      <c r="F6" s="9" t="s">
        <v>40</v>
      </c>
      <c r="G6" s="9">
        <v>1132071576301</v>
      </c>
      <c r="H6" s="9" t="s">
        <v>25</v>
      </c>
      <c r="I6" s="9" t="s">
        <v>26</v>
      </c>
      <c r="J6" s="9" t="s">
        <v>21</v>
      </c>
      <c r="K6" s="9" t="s">
        <v>27</v>
      </c>
      <c r="L6" s="9" t="e">
        <f>VLOOKUP(J6,#REF!,2,FALSE)</f>
        <v>#REF!</v>
      </c>
      <c r="M6" s="9"/>
      <c r="N6" s="11" t="s">
        <v>28</v>
      </c>
      <c r="O6" s="12"/>
      <c r="P6" s="13" t="s">
        <v>29</v>
      </c>
      <c r="Q6" s="13" t="s">
        <v>28</v>
      </c>
      <c r="R6" s="14">
        <v>1474317.85</v>
      </c>
      <c r="S6" s="14" t="e">
        <f>VLOOKUP(I6,#REF!,2,FALSE)</f>
        <v>#REF!</v>
      </c>
      <c r="T6" s="14" t="e">
        <f t="shared" si="0"/>
        <v>#REF!</v>
      </c>
    </row>
    <row r="7" spans="1:20" x14ac:dyDescent="0.45">
      <c r="A7" s="9" t="s">
        <v>19</v>
      </c>
      <c r="B7" s="9" t="s">
        <v>20</v>
      </c>
      <c r="C7" s="9" t="s">
        <v>21</v>
      </c>
      <c r="D7" s="9" t="s">
        <v>41</v>
      </c>
      <c r="E7" s="9" t="s">
        <v>42</v>
      </c>
      <c r="F7" s="9" t="s">
        <v>43</v>
      </c>
      <c r="G7" s="9">
        <v>9040001737842</v>
      </c>
      <c r="H7" s="9" t="s">
        <v>25</v>
      </c>
      <c r="I7" s="9" t="s">
        <v>26</v>
      </c>
      <c r="J7" s="9" t="s">
        <v>21</v>
      </c>
      <c r="K7" s="9" t="s">
        <v>27</v>
      </c>
      <c r="L7" s="9" t="e">
        <f>VLOOKUP(J7,#REF!,2,FALSE)</f>
        <v>#REF!</v>
      </c>
      <c r="M7" s="9"/>
      <c r="N7" s="11" t="s">
        <v>28</v>
      </c>
      <c r="O7" s="12"/>
      <c r="P7" s="13" t="s">
        <v>29</v>
      </c>
      <c r="Q7" s="13" t="s">
        <v>28</v>
      </c>
      <c r="R7" s="14">
        <v>829418.7</v>
      </c>
      <c r="S7" s="14" t="e">
        <f>VLOOKUP(I7,#REF!,2,FALSE)</f>
        <v>#REF!</v>
      </c>
      <c r="T7" s="14" t="e">
        <f t="shared" si="0"/>
        <v>#REF!</v>
      </c>
    </row>
    <row r="8" spans="1:20" x14ac:dyDescent="0.45">
      <c r="A8" s="9" t="s">
        <v>19</v>
      </c>
      <c r="B8" s="9" t="s">
        <v>20</v>
      </c>
      <c r="C8" s="9" t="s">
        <v>21</v>
      </c>
      <c r="D8" s="9" t="s">
        <v>41</v>
      </c>
      <c r="E8" s="9" t="s">
        <v>44</v>
      </c>
      <c r="F8" s="9" t="s">
        <v>45</v>
      </c>
      <c r="G8" s="9">
        <v>9040001737885</v>
      </c>
      <c r="H8" s="9" t="s">
        <v>25</v>
      </c>
      <c r="I8" s="9" t="s">
        <v>32</v>
      </c>
      <c r="J8" s="9" t="s">
        <v>21</v>
      </c>
      <c r="K8" s="9" t="s">
        <v>27</v>
      </c>
      <c r="L8" s="9" t="e">
        <f>VLOOKUP(J8,#REF!,2,FALSE)</f>
        <v>#REF!</v>
      </c>
      <c r="M8" s="9"/>
      <c r="N8" s="11" t="s">
        <v>28</v>
      </c>
      <c r="O8" s="12"/>
      <c r="P8" s="13" t="s">
        <v>29</v>
      </c>
      <c r="Q8" s="13" t="s">
        <v>28</v>
      </c>
      <c r="R8" s="14">
        <v>255.68</v>
      </c>
      <c r="S8" s="14" t="e">
        <f>VLOOKUP(I8,#REF!,2,FALSE)</f>
        <v>#REF!</v>
      </c>
      <c r="T8" s="14" t="e">
        <f t="shared" si="0"/>
        <v>#REF!</v>
      </c>
    </row>
    <row r="9" spans="1:20" x14ac:dyDescent="0.45">
      <c r="A9" s="9" t="s">
        <v>19</v>
      </c>
      <c r="B9" s="9" t="s">
        <v>20</v>
      </c>
      <c r="C9" s="9" t="s">
        <v>21</v>
      </c>
      <c r="D9" s="9" t="s">
        <v>46</v>
      </c>
      <c r="E9" s="9" t="s">
        <v>47</v>
      </c>
      <c r="F9" s="9" t="s">
        <v>48</v>
      </c>
      <c r="G9" s="9">
        <v>6010517036</v>
      </c>
      <c r="H9" s="9" t="s">
        <v>25</v>
      </c>
      <c r="I9" s="9" t="s">
        <v>26</v>
      </c>
      <c r="J9" s="9" t="s">
        <v>21</v>
      </c>
      <c r="K9" s="9" t="s">
        <v>27</v>
      </c>
      <c r="L9" s="9" t="e">
        <f>VLOOKUP(J9,#REF!,2,FALSE)</f>
        <v>#REF!</v>
      </c>
      <c r="M9" s="9"/>
      <c r="N9" s="11" t="s">
        <v>28</v>
      </c>
      <c r="O9" s="12"/>
      <c r="P9" s="13" t="s">
        <v>29</v>
      </c>
      <c r="Q9" s="13" t="s">
        <v>28</v>
      </c>
      <c r="R9" s="14">
        <v>384</v>
      </c>
      <c r="S9" s="14" t="e">
        <f>VLOOKUP(I9,#REF!,2,FALSE)</f>
        <v>#REF!</v>
      </c>
      <c r="T9" s="14" t="e">
        <f t="shared" si="0"/>
        <v>#REF!</v>
      </c>
    </row>
    <row r="10" spans="1:20" x14ac:dyDescent="0.45">
      <c r="A10" s="9" t="s">
        <v>19</v>
      </c>
      <c r="B10" s="9" t="s">
        <v>20</v>
      </c>
      <c r="C10" s="9" t="s">
        <v>21</v>
      </c>
      <c r="D10" s="9" t="s">
        <v>46</v>
      </c>
      <c r="E10" s="9" t="s">
        <v>49</v>
      </c>
      <c r="F10" s="9" t="s">
        <v>50</v>
      </c>
      <c r="G10" s="9">
        <v>6040510056</v>
      </c>
      <c r="H10" s="9" t="s">
        <v>51</v>
      </c>
      <c r="I10" s="9" t="s">
        <v>32</v>
      </c>
      <c r="J10" s="9" t="s">
        <v>21</v>
      </c>
      <c r="K10" s="9" t="s">
        <v>27</v>
      </c>
      <c r="L10" s="9" t="e">
        <f>VLOOKUP(J10,#REF!,2,FALSE)</f>
        <v>#REF!</v>
      </c>
      <c r="M10" s="9"/>
      <c r="N10" s="11" t="s">
        <v>28</v>
      </c>
      <c r="O10" s="15"/>
      <c r="P10" s="13" t="s">
        <v>29</v>
      </c>
      <c r="Q10" s="13" t="s">
        <v>28</v>
      </c>
      <c r="R10" s="14">
        <v>981</v>
      </c>
      <c r="S10" s="14" t="e">
        <f>VLOOKUP(I10,#REF!,2,FALSE)</f>
        <v>#REF!</v>
      </c>
      <c r="T10" s="14" t="e">
        <f t="shared" si="0"/>
        <v>#REF!</v>
      </c>
    </row>
    <row r="11" spans="1:20" x14ac:dyDescent="0.45">
      <c r="A11" s="9" t="s">
        <v>19</v>
      </c>
      <c r="B11" s="9" t="s">
        <v>20</v>
      </c>
      <c r="C11" s="9" t="s">
        <v>21</v>
      </c>
      <c r="D11" s="9" t="s">
        <v>52</v>
      </c>
      <c r="E11" s="9" t="s">
        <v>53</v>
      </c>
      <c r="F11" s="9" t="s">
        <v>54</v>
      </c>
      <c r="G11" s="9">
        <v>552976665</v>
      </c>
      <c r="H11" s="9" t="s">
        <v>55</v>
      </c>
      <c r="I11" s="9" t="s">
        <v>26</v>
      </c>
      <c r="J11" s="9" t="s">
        <v>21</v>
      </c>
      <c r="K11" s="9" t="s">
        <v>27</v>
      </c>
      <c r="L11" s="9" t="e">
        <f>VLOOKUP(J11,#REF!,2,FALSE)</f>
        <v>#REF!</v>
      </c>
      <c r="M11" s="9"/>
      <c r="N11" s="11" t="s">
        <v>28</v>
      </c>
      <c r="O11" s="12"/>
      <c r="P11" s="13" t="s">
        <v>29</v>
      </c>
      <c r="Q11" s="13" t="s">
        <v>28</v>
      </c>
      <c r="R11" s="14">
        <v>0</v>
      </c>
      <c r="S11" s="14" t="e">
        <f>VLOOKUP(I11,#REF!,2,FALSE)</f>
        <v>#REF!</v>
      </c>
      <c r="T11" s="14" t="e">
        <f t="shared" si="0"/>
        <v>#REF!</v>
      </c>
    </row>
    <row r="12" spans="1:20" x14ac:dyDescent="0.45">
      <c r="A12" s="9" t="s">
        <v>19</v>
      </c>
      <c r="B12" s="9" t="s">
        <v>56</v>
      </c>
      <c r="C12" s="9" t="s">
        <v>57</v>
      </c>
      <c r="D12" s="9" t="s">
        <v>521</v>
      </c>
      <c r="E12" s="9" t="s">
        <v>523</v>
      </c>
      <c r="F12" s="9" t="s">
        <v>58</v>
      </c>
      <c r="G12" s="9" t="s">
        <v>58</v>
      </c>
      <c r="H12" s="9" t="s">
        <v>25</v>
      </c>
      <c r="I12" s="9" t="s">
        <v>59</v>
      </c>
      <c r="J12" s="9" t="s">
        <v>57</v>
      </c>
      <c r="K12" s="9" t="s">
        <v>60</v>
      </c>
      <c r="L12" s="9" t="e">
        <f>VLOOKUP(J12,#REF!,2,FALSE)</f>
        <v>#REF!</v>
      </c>
      <c r="M12" s="11" t="s">
        <v>61</v>
      </c>
      <c r="N12" s="12" t="s">
        <v>28</v>
      </c>
      <c r="O12" s="12" t="s">
        <v>29</v>
      </c>
      <c r="P12" s="13" t="s">
        <v>29</v>
      </c>
      <c r="Q12" s="13" t="s">
        <v>29</v>
      </c>
      <c r="R12" s="14">
        <v>1</v>
      </c>
      <c r="S12" s="14" t="e">
        <f>VLOOKUP(I12,#REF!,2,FALSE)</f>
        <v>#REF!</v>
      </c>
      <c r="T12" s="14" t="e">
        <f t="shared" si="0"/>
        <v>#REF!</v>
      </c>
    </row>
    <row r="13" spans="1:20" x14ac:dyDescent="0.45">
      <c r="A13" s="9" t="s">
        <v>19</v>
      </c>
      <c r="B13" s="9" t="s">
        <v>56</v>
      </c>
      <c r="C13" s="9" t="s">
        <v>57</v>
      </c>
      <c r="D13" s="9" t="s">
        <v>62</v>
      </c>
      <c r="E13" s="9" t="s">
        <v>63</v>
      </c>
      <c r="F13" s="9" t="s">
        <v>64</v>
      </c>
      <c r="G13" s="9">
        <v>30985007</v>
      </c>
      <c r="H13" s="9" t="s">
        <v>25</v>
      </c>
      <c r="I13" s="9" t="s">
        <v>32</v>
      </c>
      <c r="J13" s="9" t="s">
        <v>65</v>
      </c>
      <c r="K13" s="9" t="s">
        <v>60</v>
      </c>
      <c r="L13" s="9" t="e">
        <f>VLOOKUP(J13,#REF!,2,FALSE)</f>
        <v>#REF!</v>
      </c>
      <c r="M13" s="11" t="s">
        <v>61</v>
      </c>
      <c r="N13" s="12" t="s">
        <v>28</v>
      </c>
      <c r="O13" s="12" t="s">
        <v>29</v>
      </c>
      <c r="P13" s="13" t="s">
        <v>29</v>
      </c>
      <c r="Q13" s="13" t="s">
        <v>29</v>
      </c>
      <c r="R13" s="14">
        <v>2429.4699999999998</v>
      </c>
      <c r="S13" s="14" t="e">
        <f>VLOOKUP(I13,#REF!,2,FALSE)</f>
        <v>#REF!</v>
      </c>
      <c r="T13" s="14" t="e">
        <f t="shared" si="0"/>
        <v>#REF!</v>
      </c>
    </row>
    <row r="14" spans="1:20" x14ac:dyDescent="0.45">
      <c r="A14" s="9" t="s">
        <v>19</v>
      </c>
      <c r="B14" s="9" t="s">
        <v>66</v>
      </c>
      <c r="C14" s="9" t="s">
        <v>67</v>
      </c>
      <c r="D14" s="9" t="s">
        <v>68</v>
      </c>
      <c r="E14" s="9" t="s">
        <v>69</v>
      </c>
      <c r="F14" s="9" t="s">
        <v>70</v>
      </c>
      <c r="G14" s="9">
        <v>1493489710001</v>
      </c>
      <c r="H14" s="9" t="s">
        <v>25</v>
      </c>
      <c r="I14" s="9" t="s">
        <v>71</v>
      </c>
      <c r="J14" s="9" t="s">
        <v>67</v>
      </c>
      <c r="K14" s="9" t="s">
        <v>27</v>
      </c>
      <c r="L14" s="9" t="e">
        <f>VLOOKUP(J14,#REF!,2,FALSE)</f>
        <v>#REF!</v>
      </c>
      <c r="M14" s="9"/>
      <c r="N14" s="11" t="s">
        <v>28</v>
      </c>
      <c r="O14" s="12"/>
      <c r="P14" s="13" t="s">
        <v>29</v>
      </c>
      <c r="Q14" s="13" t="s">
        <v>28</v>
      </c>
      <c r="R14" s="14">
        <v>12158413.68</v>
      </c>
      <c r="S14" s="14" t="e">
        <f>VLOOKUP(I14,#REF!,2,FALSE)</f>
        <v>#REF!</v>
      </c>
      <c r="T14" s="14" t="e">
        <f t="shared" si="0"/>
        <v>#REF!</v>
      </c>
    </row>
    <row r="15" spans="1:20" x14ac:dyDescent="0.45">
      <c r="A15" s="9" t="s">
        <v>19</v>
      </c>
      <c r="B15" s="9" t="s">
        <v>66</v>
      </c>
      <c r="C15" s="9" t="s">
        <v>67</v>
      </c>
      <c r="D15" s="9" t="s">
        <v>68</v>
      </c>
      <c r="E15" s="9" t="s">
        <v>72</v>
      </c>
      <c r="F15" s="9" t="s">
        <v>73</v>
      </c>
      <c r="G15" s="9">
        <v>1493489713001</v>
      </c>
      <c r="H15" s="9" t="s">
        <v>25</v>
      </c>
      <c r="I15" s="9" t="s">
        <v>32</v>
      </c>
      <c r="J15" s="9" t="s">
        <v>67</v>
      </c>
      <c r="K15" s="9" t="s">
        <v>27</v>
      </c>
      <c r="L15" s="9" t="e">
        <f>VLOOKUP(J15,#REF!,2,FALSE)</f>
        <v>#REF!</v>
      </c>
      <c r="M15" s="9"/>
      <c r="N15" s="11" t="s">
        <v>28</v>
      </c>
      <c r="O15" s="12"/>
      <c r="P15" s="13" t="s">
        <v>29</v>
      </c>
      <c r="Q15" s="13" t="s">
        <v>28</v>
      </c>
      <c r="R15" s="14">
        <v>497.25</v>
      </c>
      <c r="S15" s="14" t="e">
        <f>VLOOKUP(I15,#REF!,2,FALSE)</f>
        <v>#REF!</v>
      </c>
      <c r="T15" s="14" t="e">
        <f t="shared" si="0"/>
        <v>#REF!</v>
      </c>
    </row>
    <row r="16" spans="1:20" x14ac:dyDescent="0.45">
      <c r="A16" s="9" t="s">
        <v>19</v>
      </c>
      <c r="B16" s="9" t="s">
        <v>66</v>
      </c>
      <c r="C16" s="9" t="s">
        <v>67</v>
      </c>
      <c r="D16" s="9" t="s">
        <v>74</v>
      </c>
      <c r="E16" s="9" t="s">
        <v>75</v>
      </c>
      <c r="F16" s="9" t="s">
        <v>76</v>
      </c>
      <c r="G16" s="9">
        <v>341670085</v>
      </c>
      <c r="H16" s="9" t="s">
        <v>25</v>
      </c>
      <c r="I16" s="9" t="s">
        <v>71</v>
      </c>
      <c r="J16" s="9" t="s">
        <v>67</v>
      </c>
      <c r="K16" s="9" t="s">
        <v>27</v>
      </c>
      <c r="L16" s="9" t="e">
        <f>VLOOKUP(J16,#REF!,2,FALSE)</f>
        <v>#REF!</v>
      </c>
      <c r="M16" s="9"/>
      <c r="N16" s="11" t="s">
        <v>28</v>
      </c>
      <c r="O16" s="12"/>
      <c r="P16" s="13" t="s">
        <v>29</v>
      </c>
      <c r="Q16" s="13" t="s">
        <v>28</v>
      </c>
      <c r="R16" s="14">
        <v>24647685.760000002</v>
      </c>
      <c r="S16" s="14" t="e">
        <f>VLOOKUP(I16,#REF!,2,FALSE)</f>
        <v>#REF!</v>
      </c>
      <c r="T16" s="14" t="e">
        <f t="shared" si="0"/>
        <v>#REF!</v>
      </c>
    </row>
    <row r="17" spans="1:20" x14ac:dyDescent="0.45">
      <c r="A17" s="9" t="s">
        <v>19</v>
      </c>
      <c r="B17" s="9" t="s">
        <v>66</v>
      </c>
      <c r="C17" s="9" t="s">
        <v>67</v>
      </c>
      <c r="D17" s="9" t="s">
        <v>74</v>
      </c>
      <c r="E17" s="9" t="s">
        <v>75</v>
      </c>
      <c r="F17" s="9" t="s">
        <v>77</v>
      </c>
      <c r="G17" s="9">
        <v>429986645</v>
      </c>
      <c r="H17" s="9" t="s">
        <v>25</v>
      </c>
      <c r="I17" s="9" t="s">
        <v>32</v>
      </c>
      <c r="J17" s="9" t="s">
        <v>67</v>
      </c>
      <c r="K17" s="9" t="s">
        <v>27</v>
      </c>
      <c r="L17" s="9" t="e">
        <f>VLOOKUP(J17,#REF!,2,FALSE)</f>
        <v>#REF!</v>
      </c>
      <c r="M17" s="9"/>
      <c r="N17" s="11" t="s">
        <v>28</v>
      </c>
      <c r="O17" s="12"/>
      <c r="P17" s="13" t="s">
        <v>29</v>
      </c>
      <c r="Q17" s="13" t="s">
        <v>28</v>
      </c>
      <c r="R17" s="14">
        <v>1576756.02</v>
      </c>
      <c r="S17" s="14" t="e">
        <f>VLOOKUP(I17,#REF!,2,FALSE)</f>
        <v>#REF!</v>
      </c>
      <c r="T17" s="14" t="e">
        <f t="shared" si="0"/>
        <v>#REF!</v>
      </c>
    </row>
    <row r="18" spans="1:20" x14ac:dyDescent="0.45">
      <c r="A18" s="9" t="s">
        <v>19</v>
      </c>
      <c r="B18" s="9" t="s">
        <v>66</v>
      </c>
      <c r="C18" s="9" t="s">
        <v>67</v>
      </c>
      <c r="D18" s="9" t="s">
        <v>78</v>
      </c>
      <c r="E18" s="9" t="s">
        <v>79</v>
      </c>
      <c r="F18" s="9" t="s">
        <v>80</v>
      </c>
      <c r="G18" s="9">
        <v>2012443072018</v>
      </c>
      <c r="H18" s="9" t="s">
        <v>25</v>
      </c>
      <c r="I18" s="9" t="s">
        <v>32</v>
      </c>
      <c r="J18" s="9" t="s">
        <v>67</v>
      </c>
      <c r="K18" s="9" t="s">
        <v>27</v>
      </c>
      <c r="L18" s="9" t="e">
        <f>VLOOKUP(J18,#REF!,2,FALSE)</f>
        <v>#REF!</v>
      </c>
      <c r="M18" s="9"/>
      <c r="N18" s="11" t="s">
        <v>28</v>
      </c>
      <c r="O18" s="12"/>
      <c r="P18" s="13" t="s">
        <v>29</v>
      </c>
      <c r="Q18" s="13" t="s">
        <v>28</v>
      </c>
      <c r="R18" s="14">
        <v>7931.45</v>
      </c>
      <c r="S18" s="14" t="e">
        <f>VLOOKUP(I18,#REF!,2,FALSE)</f>
        <v>#REF!</v>
      </c>
      <c r="T18" s="14" t="e">
        <f t="shared" si="0"/>
        <v>#REF!</v>
      </c>
    </row>
    <row r="19" spans="1:20" x14ac:dyDescent="0.45">
      <c r="A19" s="9" t="s">
        <v>19</v>
      </c>
      <c r="B19" s="9" t="s">
        <v>66</v>
      </c>
      <c r="C19" s="9" t="s">
        <v>67</v>
      </c>
      <c r="D19" s="9" t="s">
        <v>78</v>
      </c>
      <c r="E19" s="9" t="s">
        <v>524</v>
      </c>
      <c r="F19" s="9" t="s">
        <v>81</v>
      </c>
      <c r="G19" s="9">
        <v>2012443072026</v>
      </c>
      <c r="H19" s="9" t="s">
        <v>25</v>
      </c>
      <c r="I19" s="9" t="s">
        <v>71</v>
      </c>
      <c r="J19" s="9" t="s">
        <v>67</v>
      </c>
      <c r="K19" s="9" t="s">
        <v>27</v>
      </c>
      <c r="L19" s="9" t="e">
        <f>VLOOKUP(J19,#REF!,2,FALSE)</f>
        <v>#REF!</v>
      </c>
      <c r="M19" s="9"/>
      <c r="N19" s="11" t="s">
        <v>28</v>
      </c>
      <c r="O19" s="12"/>
      <c r="P19" s="13" t="s">
        <v>29</v>
      </c>
      <c r="Q19" s="13" t="s">
        <v>28</v>
      </c>
      <c r="R19" s="14">
        <v>66783.98</v>
      </c>
      <c r="S19" s="14" t="e">
        <f>VLOOKUP(I19,#REF!,2,FALSE)</f>
        <v>#REF!</v>
      </c>
      <c r="T19" s="14" t="e">
        <f t="shared" si="0"/>
        <v>#REF!</v>
      </c>
    </row>
    <row r="20" spans="1:20" x14ac:dyDescent="0.45">
      <c r="A20" s="9" t="s">
        <v>19</v>
      </c>
      <c r="B20" s="9" t="s">
        <v>66</v>
      </c>
      <c r="C20" s="9" t="s">
        <v>67</v>
      </c>
      <c r="D20" s="9" t="s">
        <v>74</v>
      </c>
      <c r="E20" s="9" t="s">
        <v>75</v>
      </c>
      <c r="F20" s="9" t="s">
        <v>82</v>
      </c>
      <c r="G20" s="9">
        <v>1200068772</v>
      </c>
      <c r="H20" s="9" t="s">
        <v>51</v>
      </c>
      <c r="I20" s="9" t="s">
        <v>32</v>
      </c>
      <c r="J20" s="9" t="s">
        <v>67</v>
      </c>
      <c r="K20" s="9" t="s">
        <v>27</v>
      </c>
      <c r="L20" s="9" t="e">
        <f>VLOOKUP(J20,#REF!,2,FALSE)</f>
        <v>#REF!</v>
      </c>
      <c r="M20" s="9"/>
      <c r="N20" s="11" t="s">
        <v>28</v>
      </c>
      <c r="O20" s="12"/>
      <c r="P20" s="13" t="s">
        <v>28</v>
      </c>
      <c r="Q20" s="13" t="s">
        <v>28</v>
      </c>
      <c r="R20" s="14" t="e">
        <v>#N/A</v>
      </c>
      <c r="S20" s="14" t="e">
        <f>VLOOKUP(I20,#REF!,2,FALSE)</f>
        <v>#REF!</v>
      </c>
      <c r="T20" s="14" t="e">
        <f t="shared" si="0"/>
        <v>#N/A</v>
      </c>
    </row>
    <row r="21" spans="1:20" x14ac:dyDescent="0.45">
      <c r="A21" s="9" t="s">
        <v>19</v>
      </c>
      <c r="B21" s="9" t="s">
        <v>66</v>
      </c>
      <c r="C21" s="9" t="s">
        <v>67</v>
      </c>
      <c r="D21" s="9" t="s">
        <v>74</v>
      </c>
      <c r="E21" s="9" t="s">
        <v>75</v>
      </c>
      <c r="F21" s="9" t="s">
        <v>83</v>
      </c>
      <c r="G21" s="9">
        <v>1200068384</v>
      </c>
      <c r="H21" s="9" t="s">
        <v>51</v>
      </c>
      <c r="I21" s="9" t="s">
        <v>32</v>
      </c>
      <c r="J21" s="9" t="s">
        <v>67</v>
      </c>
      <c r="K21" s="9" t="s">
        <v>27</v>
      </c>
      <c r="L21" s="9" t="e">
        <f>VLOOKUP(J21,#REF!,2,FALSE)</f>
        <v>#REF!</v>
      </c>
      <c r="M21" s="9"/>
      <c r="N21" s="11" t="s">
        <v>28</v>
      </c>
      <c r="O21" s="12"/>
      <c r="P21" s="13" t="s">
        <v>28</v>
      </c>
      <c r="Q21" s="13" t="s">
        <v>28</v>
      </c>
      <c r="R21" s="14" t="e">
        <v>#N/A</v>
      </c>
      <c r="S21" s="14" t="e">
        <f>VLOOKUP(I21,#REF!,2,FALSE)</f>
        <v>#REF!</v>
      </c>
      <c r="T21" s="14" t="e">
        <f t="shared" si="0"/>
        <v>#N/A</v>
      </c>
    </row>
    <row r="22" spans="1:20" x14ac:dyDescent="0.45">
      <c r="A22" s="9" t="s">
        <v>19</v>
      </c>
      <c r="B22" s="9" t="s">
        <v>84</v>
      </c>
      <c r="C22" s="9" t="s">
        <v>85</v>
      </c>
      <c r="D22" s="9" t="s">
        <v>86</v>
      </c>
      <c r="E22" s="9" t="s">
        <v>87</v>
      </c>
      <c r="F22" s="9" t="s">
        <v>88</v>
      </c>
      <c r="G22" s="9">
        <v>7.5010155300004E+16</v>
      </c>
      <c r="H22" s="9" t="s">
        <v>25</v>
      </c>
      <c r="I22" s="9" t="s">
        <v>89</v>
      </c>
      <c r="J22" s="9" t="s">
        <v>85</v>
      </c>
      <c r="K22" s="9" t="s">
        <v>27</v>
      </c>
      <c r="L22" s="9" t="e">
        <f>VLOOKUP(J22,#REF!,2,FALSE)</f>
        <v>#REF!</v>
      </c>
      <c r="M22" s="9"/>
      <c r="N22" s="11" t="s">
        <v>28</v>
      </c>
      <c r="O22" s="12"/>
      <c r="P22" s="13" t="s">
        <v>29</v>
      </c>
      <c r="Q22" s="13" t="s">
        <v>28</v>
      </c>
      <c r="R22" s="14">
        <v>1965.67</v>
      </c>
      <c r="S22" s="14" t="e">
        <f>VLOOKUP(I22,#REF!,2,FALSE)</f>
        <v>#REF!</v>
      </c>
      <c r="T22" s="14" t="e">
        <f t="shared" si="0"/>
        <v>#REF!</v>
      </c>
    </row>
    <row r="23" spans="1:20" x14ac:dyDescent="0.45">
      <c r="A23" s="9" t="s">
        <v>19</v>
      </c>
      <c r="B23" s="9" t="s">
        <v>84</v>
      </c>
      <c r="C23" s="9" t="s">
        <v>85</v>
      </c>
      <c r="D23" s="9" t="s">
        <v>86</v>
      </c>
      <c r="E23" s="9" t="s">
        <v>90</v>
      </c>
      <c r="F23" s="9" t="s">
        <v>91</v>
      </c>
      <c r="G23" s="9">
        <v>7.51914553E+16</v>
      </c>
      <c r="H23" s="9" t="s">
        <v>25</v>
      </c>
      <c r="I23" s="9" t="s">
        <v>32</v>
      </c>
      <c r="J23" s="9" t="s">
        <v>85</v>
      </c>
      <c r="K23" s="9" t="s">
        <v>27</v>
      </c>
      <c r="L23" s="9" t="e">
        <f>VLOOKUP(J23,#REF!,2,FALSE)</f>
        <v>#REF!</v>
      </c>
      <c r="M23" s="9"/>
      <c r="N23" s="11" t="s">
        <v>28</v>
      </c>
      <c r="O23" s="12"/>
      <c r="P23" s="13" t="s">
        <v>29</v>
      </c>
      <c r="Q23" s="13" t="s">
        <v>28</v>
      </c>
      <c r="R23" s="14">
        <v>33.33</v>
      </c>
      <c r="S23" s="14" t="e">
        <f>VLOOKUP(I23,#REF!,2,FALSE)</f>
        <v>#REF!</v>
      </c>
      <c r="T23" s="14" t="e">
        <f t="shared" si="0"/>
        <v>#REF!</v>
      </c>
    </row>
    <row r="24" spans="1:20" x14ac:dyDescent="0.45">
      <c r="A24" s="9" t="s">
        <v>19</v>
      </c>
      <c r="B24" s="9" t="s">
        <v>92</v>
      </c>
      <c r="C24" s="9" t="s">
        <v>93</v>
      </c>
      <c r="D24" s="9" t="s">
        <v>94</v>
      </c>
      <c r="E24" s="9" t="s">
        <v>95</v>
      </c>
      <c r="F24" s="9" t="s">
        <v>96</v>
      </c>
      <c r="G24" s="9">
        <v>11363239</v>
      </c>
      <c r="H24" s="9" t="s">
        <v>97</v>
      </c>
      <c r="I24" s="9" t="s">
        <v>98</v>
      </c>
      <c r="J24" s="9" t="s">
        <v>99</v>
      </c>
      <c r="K24" s="9" t="s">
        <v>27</v>
      </c>
      <c r="L24" s="9" t="e">
        <f>VLOOKUP(J24,#REF!,2,FALSE)</f>
        <v>#REF!</v>
      </c>
      <c r="M24" s="9"/>
      <c r="N24" s="11" t="s">
        <v>28</v>
      </c>
      <c r="O24" s="12"/>
      <c r="P24" s="13" t="s">
        <v>28</v>
      </c>
      <c r="Q24" s="13" t="s">
        <v>28</v>
      </c>
      <c r="R24" s="14" t="e">
        <v>#N/A</v>
      </c>
      <c r="S24" s="14" t="e">
        <f>VLOOKUP(I24,#REF!,2,FALSE)</f>
        <v>#REF!</v>
      </c>
      <c r="T24" s="14" t="e">
        <f t="shared" si="0"/>
        <v>#N/A</v>
      </c>
    </row>
    <row r="25" spans="1:20" x14ac:dyDescent="0.45">
      <c r="A25" s="9" t="s">
        <v>19</v>
      </c>
      <c r="B25" s="9" t="s">
        <v>92</v>
      </c>
      <c r="C25" s="9" t="s">
        <v>93</v>
      </c>
      <c r="D25" s="9" t="s">
        <v>94</v>
      </c>
      <c r="E25" s="9" t="s">
        <v>100</v>
      </c>
      <c r="F25" s="9" t="s">
        <v>101</v>
      </c>
      <c r="G25" s="9">
        <v>11363255</v>
      </c>
      <c r="H25" s="9" t="s">
        <v>97</v>
      </c>
      <c r="I25" s="9" t="s">
        <v>98</v>
      </c>
      <c r="J25" s="9" t="s">
        <v>99</v>
      </c>
      <c r="K25" s="9" t="s">
        <v>27</v>
      </c>
      <c r="L25" s="9" t="e">
        <f>VLOOKUP(J25,#REF!,2,FALSE)</f>
        <v>#REF!</v>
      </c>
      <c r="M25" s="9"/>
      <c r="N25" s="11" t="s">
        <v>28</v>
      </c>
      <c r="O25" s="12"/>
      <c r="P25" s="13" t="s">
        <v>28</v>
      </c>
      <c r="Q25" s="13" t="s">
        <v>28</v>
      </c>
      <c r="R25" s="14" t="e">
        <v>#N/A</v>
      </c>
      <c r="S25" s="14" t="e">
        <f>VLOOKUP(I25,#REF!,2,FALSE)</f>
        <v>#REF!</v>
      </c>
      <c r="T25" s="14" t="e">
        <f t="shared" si="0"/>
        <v>#N/A</v>
      </c>
    </row>
    <row r="26" spans="1:20" x14ac:dyDescent="0.45">
      <c r="A26" s="9" t="s">
        <v>19</v>
      </c>
      <c r="B26" s="9" t="s">
        <v>92</v>
      </c>
      <c r="C26" s="9" t="s">
        <v>93</v>
      </c>
      <c r="D26" s="9" t="s">
        <v>102</v>
      </c>
      <c r="E26" s="9" t="s">
        <v>103</v>
      </c>
      <c r="F26" s="9" t="s">
        <v>104</v>
      </c>
      <c r="G26" s="9" t="s">
        <v>104</v>
      </c>
      <c r="H26" s="9" t="s">
        <v>25</v>
      </c>
      <c r="I26" s="9" t="s">
        <v>98</v>
      </c>
      <c r="J26" s="9" t="s">
        <v>93</v>
      </c>
      <c r="K26" s="9" t="s">
        <v>27</v>
      </c>
      <c r="L26" s="9" t="e">
        <f>VLOOKUP(J26,#REF!,2,FALSE)</f>
        <v>#REF!</v>
      </c>
      <c r="M26" s="9"/>
      <c r="N26" s="11" t="s">
        <v>28</v>
      </c>
      <c r="O26" s="12"/>
      <c r="P26" s="13" t="s">
        <v>29</v>
      </c>
      <c r="Q26" s="13" t="s">
        <v>28</v>
      </c>
      <c r="R26" s="14">
        <v>207431.48</v>
      </c>
      <c r="S26" s="14" t="e">
        <f>VLOOKUP(I26,#REF!,2,FALSE)</f>
        <v>#REF!</v>
      </c>
      <c r="T26" s="14" t="e">
        <f t="shared" si="0"/>
        <v>#REF!</v>
      </c>
    </row>
    <row r="27" spans="1:20" x14ac:dyDescent="0.45">
      <c r="A27" s="9" t="s">
        <v>19</v>
      </c>
      <c r="B27" s="9" t="s">
        <v>92</v>
      </c>
      <c r="C27" s="9" t="s">
        <v>93</v>
      </c>
      <c r="D27" s="9" t="s">
        <v>102</v>
      </c>
      <c r="E27" s="9" t="s">
        <v>105</v>
      </c>
      <c r="F27" s="9" t="s">
        <v>106</v>
      </c>
      <c r="G27" s="9" t="s">
        <v>106</v>
      </c>
      <c r="H27" s="9" t="s">
        <v>25</v>
      </c>
      <c r="I27" s="9" t="s">
        <v>32</v>
      </c>
      <c r="J27" s="9" t="s">
        <v>93</v>
      </c>
      <c r="K27" s="9" t="s">
        <v>27</v>
      </c>
      <c r="L27" s="9" t="e">
        <f>VLOOKUP(J27,#REF!,2,FALSE)</f>
        <v>#REF!</v>
      </c>
      <c r="M27" s="9"/>
      <c r="N27" s="11" t="s">
        <v>28</v>
      </c>
      <c r="O27" s="12"/>
      <c r="P27" s="13" t="s">
        <v>29</v>
      </c>
      <c r="Q27" s="13" t="s">
        <v>28</v>
      </c>
      <c r="R27" s="14">
        <v>152287.95000000001</v>
      </c>
      <c r="S27" s="14" t="e">
        <f>VLOOKUP(I27,#REF!,2,FALSE)</f>
        <v>#REF!</v>
      </c>
      <c r="T27" s="14" t="e">
        <f t="shared" si="0"/>
        <v>#REF!</v>
      </c>
    </row>
    <row r="28" spans="1:20" x14ac:dyDescent="0.45">
      <c r="A28" s="9" t="s">
        <v>19</v>
      </c>
      <c r="B28" s="9" t="s">
        <v>92</v>
      </c>
      <c r="C28" s="9" t="s">
        <v>93</v>
      </c>
      <c r="D28" s="9" t="s">
        <v>102</v>
      </c>
      <c r="E28" s="9" t="s">
        <v>107</v>
      </c>
      <c r="F28" s="9" t="s">
        <v>108</v>
      </c>
      <c r="G28" s="9">
        <v>917010463640</v>
      </c>
      <c r="H28" s="9" t="s">
        <v>25</v>
      </c>
      <c r="I28" s="9" t="s">
        <v>98</v>
      </c>
      <c r="J28" s="9" t="s">
        <v>93</v>
      </c>
      <c r="K28" s="9" t="s">
        <v>27</v>
      </c>
      <c r="L28" s="9" t="e">
        <f>VLOOKUP(J28,#REF!,2,FALSE)</f>
        <v>#REF!</v>
      </c>
      <c r="M28" s="9"/>
      <c r="N28" s="11" t="s">
        <v>28</v>
      </c>
      <c r="O28" s="12"/>
      <c r="P28" s="13" t="s">
        <v>29</v>
      </c>
      <c r="Q28" s="13" t="s">
        <v>28</v>
      </c>
      <c r="R28" s="14">
        <v>0</v>
      </c>
      <c r="S28" s="14" t="e">
        <f>VLOOKUP(I28,#REF!,2,FALSE)</f>
        <v>#REF!</v>
      </c>
      <c r="T28" s="14" t="e">
        <f t="shared" si="0"/>
        <v>#REF!</v>
      </c>
    </row>
    <row r="29" spans="1:20" x14ac:dyDescent="0.45">
      <c r="A29" s="9" t="s">
        <v>19</v>
      </c>
      <c r="B29" s="9" t="s">
        <v>92</v>
      </c>
      <c r="C29" s="9" t="s">
        <v>93</v>
      </c>
      <c r="D29" s="9" t="s">
        <v>109</v>
      </c>
      <c r="E29" s="9" t="s">
        <v>110</v>
      </c>
      <c r="F29" s="9" t="s">
        <v>111</v>
      </c>
      <c r="G29" s="9">
        <v>63129484620</v>
      </c>
      <c r="H29" s="9" t="s">
        <v>25</v>
      </c>
      <c r="I29" s="9" t="s">
        <v>112</v>
      </c>
      <c r="J29" s="9" t="s">
        <v>113</v>
      </c>
      <c r="K29" s="9" t="s">
        <v>27</v>
      </c>
      <c r="L29" s="9" t="e">
        <f>VLOOKUP(J29,#REF!,2,FALSE)</f>
        <v>#REF!</v>
      </c>
      <c r="M29" s="9"/>
      <c r="N29" s="11" t="s">
        <v>28</v>
      </c>
      <c r="O29" s="15"/>
      <c r="P29" s="13" t="s">
        <v>29</v>
      </c>
      <c r="Q29" s="13" t="s">
        <v>28</v>
      </c>
      <c r="R29" s="14">
        <v>5417.43</v>
      </c>
      <c r="S29" s="14" t="e">
        <f>VLOOKUP(I29,#REF!,2,FALSE)</f>
        <v>#REF!</v>
      </c>
      <c r="T29" s="14" t="e">
        <f t="shared" si="0"/>
        <v>#REF!</v>
      </c>
    </row>
    <row r="30" spans="1:20" x14ac:dyDescent="0.45">
      <c r="A30" s="9" t="s">
        <v>19</v>
      </c>
      <c r="B30" s="9" t="s">
        <v>92</v>
      </c>
      <c r="C30" s="9" t="s">
        <v>93</v>
      </c>
      <c r="D30" s="9" t="s">
        <v>114</v>
      </c>
      <c r="E30" s="9" t="s">
        <v>115</v>
      </c>
      <c r="F30" s="9" t="s">
        <v>116</v>
      </c>
      <c r="G30" s="9" t="s">
        <v>116</v>
      </c>
      <c r="H30" s="9" t="s">
        <v>25</v>
      </c>
      <c r="I30" s="9" t="s">
        <v>98</v>
      </c>
      <c r="J30" s="9" t="s">
        <v>93</v>
      </c>
      <c r="K30" s="9" t="s">
        <v>27</v>
      </c>
      <c r="L30" s="9" t="e">
        <f>VLOOKUP(J30,#REF!,2,FALSE)</f>
        <v>#REF!</v>
      </c>
      <c r="M30" s="9"/>
      <c r="N30" s="11" t="s">
        <v>28</v>
      </c>
      <c r="O30" s="12"/>
      <c r="P30" s="13" t="s">
        <v>29</v>
      </c>
      <c r="Q30" s="13" t="s">
        <v>28</v>
      </c>
      <c r="R30" s="14">
        <v>1717647.14</v>
      </c>
      <c r="S30" s="14" t="e">
        <f>VLOOKUP(I30,#REF!,2,FALSE)</f>
        <v>#REF!</v>
      </c>
      <c r="T30" s="14" t="e">
        <f t="shared" si="0"/>
        <v>#REF!</v>
      </c>
    </row>
    <row r="31" spans="1:20" x14ac:dyDescent="0.45">
      <c r="A31" s="9" t="s">
        <v>19</v>
      </c>
      <c r="B31" s="9" t="s">
        <v>92</v>
      </c>
      <c r="C31" s="9" t="s">
        <v>93</v>
      </c>
      <c r="D31" s="9" t="s">
        <v>114</v>
      </c>
      <c r="E31" s="9" t="s">
        <v>117</v>
      </c>
      <c r="F31" s="9" t="s">
        <v>118</v>
      </c>
      <c r="G31" s="9" t="s">
        <v>118</v>
      </c>
      <c r="H31" s="9" t="s">
        <v>25</v>
      </c>
      <c r="I31" s="9" t="s">
        <v>32</v>
      </c>
      <c r="J31" s="9" t="s">
        <v>93</v>
      </c>
      <c r="K31" s="9" t="s">
        <v>27</v>
      </c>
      <c r="L31" s="9" t="e">
        <f>VLOOKUP(J31,#REF!,2,FALSE)</f>
        <v>#REF!</v>
      </c>
      <c r="M31" s="9"/>
      <c r="N31" s="11" t="s">
        <v>28</v>
      </c>
      <c r="O31" s="12"/>
      <c r="P31" s="13" t="s">
        <v>29</v>
      </c>
      <c r="Q31" s="13" t="s">
        <v>28</v>
      </c>
      <c r="R31" s="14">
        <v>270.76</v>
      </c>
      <c r="S31" s="14" t="e">
        <f>VLOOKUP(I31,#REF!,2,FALSE)</f>
        <v>#REF!</v>
      </c>
      <c r="T31" s="14" t="e">
        <f t="shared" si="0"/>
        <v>#REF!</v>
      </c>
    </row>
    <row r="32" spans="1:20" x14ac:dyDescent="0.45">
      <c r="A32" s="9" t="s">
        <v>19</v>
      </c>
      <c r="B32" s="9" t="s">
        <v>92</v>
      </c>
      <c r="C32" s="9" t="s">
        <v>93</v>
      </c>
      <c r="D32" s="9" t="s">
        <v>109</v>
      </c>
      <c r="E32" s="9" t="s">
        <v>119</v>
      </c>
      <c r="F32" s="9" t="s">
        <v>120</v>
      </c>
      <c r="G32" s="9">
        <v>63129484745</v>
      </c>
      <c r="H32" s="9" t="s">
        <v>121</v>
      </c>
      <c r="I32" s="9" t="s">
        <v>98</v>
      </c>
      <c r="J32" s="9" t="s">
        <v>113</v>
      </c>
      <c r="K32" s="9" t="s">
        <v>27</v>
      </c>
      <c r="L32" s="9" t="e">
        <f>VLOOKUP(J32,#REF!,2,FALSE)</f>
        <v>#REF!</v>
      </c>
      <c r="M32" s="9"/>
      <c r="N32" s="11" t="s">
        <v>28</v>
      </c>
      <c r="O32" s="12"/>
      <c r="P32" s="13" t="s">
        <v>29</v>
      </c>
      <c r="Q32" s="13" t="s">
        <v>28</v>
      </c>
      <c r="R32" s="14">
        <v>0</v>
      </c>
      <c r="S32" s="14" t="e">
        <f>VLOOKUP(I32,#REF!,2,FALSE)</f>
        <v>#REF!</v>
      </c>
      <c r="T32" s="14" t="e">
        <f t="shared" si="0"/>
        <v>#REF!</v>
      </c>
    </row>
    <row r="33" spans="1:20" x14ac:dyDescent="0.45">
      <c r="A33" s="9" t="s">
        <v>19</v>
      </c>
      <c r="B33" s="9" t="s">
        <v>122</v>
      </c>
      <c r="C33" s="9" t="s">
        <v>21</v>
      </c>
      <c r="D33" s="9" t="s">
        <v>123</v>
      </c>
      <c r="E33" s="9" t="s">
        <v>124</v>
      </c>
      <c r="F33" s="9" t="s">
        <v>125</v>
      </c>
      <c r="G33" s="9">
        <v>9040005856951</v>
      </c>
      <c r="H33" s="9" t="s">
        <v>126</v>
      </c>
      <c r="I33" s="9" t="s">
        <v>26</v>
      </c>
      <c r="J33" s="9" t="s">
        <v>21</v>
      </c>
      <c r="K33" s="9" t="s">
        <v>27</v>
      </c>
      <c r="L33" s="9" t="e">
        <f>VLOOKUP(J33,#REF!,2,FALSE)</f>
        <v>#REF!</v>
      </c>
      <c r="M33" s="9"/>
      <c r="N33" s="11" t="s">
        <v>28</v>
      </c>
      <c r="O33" s="12"/>
      <c r="P33" s="13" t="s">
        <v>29</v>
      </c>
      <c r="Q33" s="13" t="s">
        <v>28</v>
      </c>
      <c r="R33" s="14">
        <v>207647.96</v>
      </c>
      <c r="S33" s="14" t="e">
        <f>VLOOKUP(I33,#REF!,2,FALSE)</f>
        <v>#REF!</v>
      </c>
      <c r="T33" s="14" t="e">
        <f t="shared" si="0"/>
        <v>#REF!</v>
      </c>
    </row>
    <row r="34" spans="1:20" x14ac:dyDescent="0.45">
      <c r="A34" s="9" t="s">
        <v>19</v>
      </c>
      <c r="B34" s="9" t="s">
        <v>122</v>
      </c>
      <c r="C34" s="9" t="s">
        <v>21</v>
      </c>
      <c r="D34" s="9" t="s">
        <v>41</v>
      </c>
      <c r="E34" s="9" t="s">
        <v>127</v>
      </c>
      <c r="F34" s="9" t="s">
        <v>128</v>
      </c>
      <c r="G34" s="9">
        <v>9040002444326</v>
      </c>
      <c r="H34" s="9" t="s">
        <v>129</v>
      </c>
      <c r="I34" s="9" t="s">
        <v>26</v>
      </c>
      <c r="J34" s="9" t="s">
        <v>21</v>
      </c>
      <c r="K34" s="9" t="s">
        <v>27</v>
      </c>
      <c r="L34" s="9" t="e">
        <f>VLOOKUP(J34,#REF!,2,FALSE)</f>
        <v>#REF!</v>
      </c>
      <c r="M34" s="9"/>
      <c r="N34" s="11" t="s">
        <v>28</v>
      </c>
      <c r="O34" s="12"/>
      <c r="P34" s="13" t="s">
        <v>29</v>
      </c>
      <c r="Q34" s="13" t="s">
        <v>28</v>
      </c>
      <c r="R34" s="14">
        <v>327957.88</v>
      </c>
      <c r="S34" s="14" t="e">
        <f>VLOOKUP(I34,#REF!,2,FALSE)</f>
        <v>#REF!</v>
      </c>
      <c r="T34" s="14" t="e">
        <f t="shared" si="0"/>
        <v>#REF!</v>
      </c>
    </row>
    <row r="35" spans="1:20" x14ac:dyDescent="0.45">
      <c r="A35" s="9" t="s">
        <v>19</v>
      </c>
      <c r="B35" s="9" t="s">
        <v>122</v>
      </c>
      <c r="C35" s="9" t="s">
        <v>21</v>
      </c>
      <c r="D35" s="9" t="s">
        <v>130</v>
      </c>
      <c r="E35" s="9" t="s">
        <v>131</v>
      </c>
      <c r="F35" s="9" t="s">
        <v>132</v>
      </c>
      <c r="G35" s="9">
        <v>1020002339597</v>
      </c>
      <c r="H35" s="9" t="s">
        <v>25</v>
      </c>
      <c r="I35" s="9" t="s">
        <v>26</v>
      </c>
      <c r="J35" s="9" t="s">
        <v>21</v>
      </c>
      <c r="K35" s="9" t="s">
        <v>27</v>
      </c>
      <c r="L35" s="9" t="e">
        <f>VLOOKUP(J35,#REF!,2,FALSE)</f>
        <v>#REF!</v>
      </c>
      <c r="M35" s="9"/>
      <c r="N35" s="11" t="s">
        <v>28</v>
      </c>
      <c r="O35" s="12"/>
      <c r="P35" s="13" t="s">
        <v>29</v>
      </c>
      <c r="Q35" s="13" t="s">
        <v>28</v>
      </c>
      <c r="R35" s="14">
        <v>183042</v>
      </c>
      <c r="S35" s="14" t="e">
        <f>VLOOKUP(I35,#REF!,2,FALSE)</f>
        <v>#REF!</v>
      </c>
      <c r="T35" s="14" t="e">
        <f t="shared" si="0"/>
        <v>#REF!</v>
      </c>
    </row>
    <row r="36" spans="1:20" x14ac:dyDescent="0.45">
      <c r="A36" s="9" t="s">
        <v>19</v>
      </c>
      <c r="B36" s="9" t="s">
        <v>122</v>
      </c>
      <c r="C36" s="9" t="s">
        <v>21</v>
      </c>
      <c r="D36" s="9" t="s">
        <v>133</v>
      </c>
      <c r="E36" s="9" t="s">
        <v>134</v>
      </c>
      <c r="F36" s="9" t="s">
        <v>135</v>
      </c>
      <c r="G36" s="9">
        <v>1101130000486</v>
      </c>
      <c r="H36" s="9" t="s">
        <v>25</v>
      </c>
      <c r="I36" s="9" t="s">
        <v>26</v>
      </c>
      <c r="J36" s="9" t="s">
        <v>21</v>
      </c>
      <c r="K36" s="9" t="s">
        <v>27</v>
      </c>
      <c r="L36" s="9" t="e">
        <f>VLOOKUP(J36,#REF!,2,FALSE)</f>
        <v>#REF!</v>
      </c>
      <c r="M36" s="9"/>
      <c r="N36" s="11" t="s">
        <v>28</v>
      </c>
      <c r="O36" s="12"/>
      <c r="P36" s="13" t="s">
        <v>29</v>
      </c>
      <c r="Q36" s="13" t="s">
        <v>28</v>
      </c>
      <c r="R36" s="14">
        <v>2304005.2799999998</v>
      </c>
      <c r="S36" s="14" t="e">
        <f>VLOOKUP(I36,#REF!,2,FALSE)</f>
        <v>#REF!</v>
      </c>
      <c r="T36" s="14" t="e">
        <f t="shared" si="0"/>
        <v>#REF!</v>
      </c>
    </row>
    <row r="37" spans="1:20" x14ac:dyDescent="0.45">
      <c r="A37" s="9" t="s">
        <v>19</v>
      </c>
      <c r="B37" s="9" t="s">
        <v>122</v>
      </c>
      <c r="C37" s="9" t="s">
        <v>21</v>
      </c>
      <c r="D37" s="9" t="s">
        <v>41</v>
      </c>
      <c r="E37" s="9" t="s">
        <v>136</v>
      </c>
      <c r="F37" s="9" t="s">
        <v>137</v>
      </c>
      <c r="G37" s="9">
        <v>9040003794592</v>
      </c>
      <c r="H37" s="9" t="s">
        <v>25</v>
      </c>
      <c r="I37" s="9" t="s">
        <v>32</v>
      </c>
      <c r="J37" s="9" t="s">
        <v>21</v>
      </c>
      <c r="K37" s="9" t="s">
        <v>27</v>
      </c>
      <c r="L37" s="9" t="e">
        <f>VLOOKUP(J37,#REF!,2,FALSE)</f>
        <v>#REF!</v>
      </c>
      <c r="M37" s="9"/>
      <c r="N37" s="11" t="s">
        <v>28</v>
      </c>
      <c r="O37" s="12"/>
      <c r="P37" s="13" t="s">
        <v>29</v>
      </c>
      <c r="Q37" s="13" t="s">
        <v>28</v>
      </c>
      <c r="R37" s="14">
        <v>10497.73</v>
      </c>
      <c r="S37" s="14" t="e">
        <f>VLOOKUP(I37,#REF!,2,FALSE)</f>
        <v>#REF!</v>
      </c>
      <c r="T37" s="14" t="e">
        <f t="shared" si="0"/>
        <v>#REF!</v>
      </c>
    </row>
    <row r="38" spans="1:20" x14ac:dyDescent="0.45">
      <c r="A38" s="9" t="s">
        <v>19</v>
      </c>
      <c r="B38" s="9" t="s">
        <v>122</v>
      </c>
      <c r="C38" s="9" t="s">
        <v>21</v>
      </c>
      <c r="D38" s="9" t="s">
        <v>46</v>
      </c>
      <c r="E38" s="9" t="s">
        <v>138</v>
      </c>
      <c r="F38" s="9" t="s">
        <v>139</v>
      </c>
      <c r="G38" s="9">
        <v>6010322537</v>
      </c>
      <c r="H38" s="9" t="s">
        <v>25</v>
      </c>
      <c r="I38" s="9" t="s">
        <v>26</v>
      </c>
      <c r="J38" s="9" t="s">
        <v>21</v>
      </c>
      <c r="K38" s="9" t="s">
        <v>27</v>
      </c>
      <c r="L38" s="9" t="e">
        <f>VLOOKUP(J38,#REF!,2,FALSE)</f>
        <v>#REF!</v>
      </c>
      <c r="M38" s="9"/>
      <c r="N38" s="11" t="s">
        <v>28</v>
      </c>
      <c r="O38" s="12"/>
      <c r="P38" s="13" t="s">
        <v>29</v>
      </c>
      <c r="Q38" s="13" t="s">
        <v>28</v>
      </c>
      <c r="R38" s="14">
        <v>375415.3</v>
      </c>
      <c r="S38" s="14" t="e">
        <f>VLOOKUP(I38,#REF!,2,FALSE)</f>
        <v>#REF!</v>
      </c>
      <c r="T38" s="14" t="e">
        <f t="shared" si="0"/>
        <v>#REF!</v>
      </c>
    </row>
    <row r="39" spans="1:20" x14ac:dyDescent="0.45">
      <c r="A39" s="9" t="s">
        <v>19</v>
      </c>
      <c r="B39" s="9" t="s">
        <v>122</v>
      </c>
      <c r="C39" s="9" t="s">
        <v>21</v>
      </c>
      <c r="D39" s="9" t="s">
        <v>130</v>
      </c>
      <c r="E39" s="9" t="s">
        <v>140</v>
      </c>
      <c r="F39" s="9" t="s">
        <v>141</v>
      </c>
      <c r="G39" s="9">
        <v>2020002339771</v>
      </c>
      <c r="H39" s="9" t="s">
        <v>121</v>
      </c>
      <c r="I39" s="9" t="s">
        <v>32</v>
      </c>
      <c r="J39" s="9" t="s">
        <v>21</v>
      </c>
      <c r="K39" s="9" t="s">
        <v>27</v>
      </c>
      <c r="L39" s="9" t="e">
        <f>VLOOKUP(J39,#REF!,2,FALSE)</f>
        <v>#REF!</v>
      </c>
      <c r="M39" s="9"/>
      <c r="N39" s="11" t="s">
        <v>28</v>
      </c>
      <c r="O39" s="12"/>
      <c r="P39" s="13" t="s">
        <v>29</v>
      </c>
      <c r="Q39" s="13" t="s">
        <v>28</v>
      </c>
      <c r="R39" s="14">
        <v>0</v>
      </c>
      <c r="S39" s="14" t="e">
        <f>VLOOKUP(I39,#REF!,2,FALSE)</f>
        <v>#REF!</v>
      </c>
      <c r="T39" s="14" t="e">
        <f t="shared" si="0"/>
        <v>#REF!</v>
      </c>
    </row>
    <row r="40" spans="1:20" x14ac:dyDescent="0.45">
      <c r="A40" s="9" t="s">
        <v>19</v>
      </c>
      <c r="B40" s="9" t="s">
        <v>122</v>
      </c>
      <c r="C40" s="9" t="s">
        <v>21</v>
      </c>
      <c r="D40" s="9" t="s">
        <v>130</v>
      </c>
      <c r="E40" s="9" t="s">
        <v>142</v>
      </c>
      <c r="F40" s="9" t="s">
        <v>143</v>
      </c>
      <c r="G40" s="9">
        <v>3020002339988</v>
      </c>
      <c r="H40" s="9" t="s">
        <v>121</v>
      </c>
      <c r="I40" s="9" t="s">
        <v>98</v>
      </c>
      <c r="J40" s="9" t="s">
        <v>21</v>
      </c>
      <c r="K40" s="9" t="s">
        <v>27</v>
      </c>
      <c r="L40" s="9" t="e">
        <f>VLOOKUP(J40,#REF!,2,FALSE)</f>
        <v>#REF!</v>
      </c>
      <c r="M40" s="9"/>
      <c r="N40" s="11" t="s">
        <v>28</v>
      </c>
      <c r="O40" s="12"/>
      <c r="P40" s="13" t="s">
        <v>29</v>
      </c>
      <c r="Q40" s="13" t="s">
        <v>28</v>
      </c>
      <c r="R40" s="14">
        <v>0</v>
      </c>
      <c r="S40" s="14" t="e">
        <f>VLOOKUP(I40,#REF!,2,FALSE)</f>
        <v>#REF!</v>
      </c>
      <c r="T40" s="14" t="e">
        <f t="shared" si="0"/>
        <v>#REF!</v>
      </c>
    </row>
    <row r="41" spans="1:20" x14ac:dyDescent="0.45">
      <c r="A41" s="9" t="s">
        <v>19</v>
      </c>
      <c r="B41" s="9" t="s">
        <v>122</v>
      </c>
      <c r="C41" s="9" t="s">
        <v>21</v>
      </c>
      <c r="D41" s="9" t="s">
        <v>133</v>
      </c>
      <c r="E41" s="9" t="s">
        <v>144</v>
      </c>
      <c r="F41" s="9" t="s">
        <v>145</v>
      </c>
      <c r="G41" s="9">
        <v>1109540000014</v>
      </c>
      <c r="H41" s="9" t="s">
        <v>146</v>
      </c>
      <c r="I41" s="9" t="s">
        <v>32</v>
      </c>
      <c r="J41" s="9" t="s">
        <v>21</v>
      </c>
      <c r="K41" s="9" t="s">
        <v>27</v>
      </c>
      <c r="L41" s="9" t="e">
        <f>VLOOKUP(J41,#REF!,2,FALSE)</f>
        <v>#REF!</v>
      </c>
      <c r="M41" s="9"/>
      <c r="N41" s="11" t="s">
        <v>28</v>
      </c>
      <c r="O41" s="12"/>
      <c r="P41" s="13" t="s">
        <v>29</v>
      </c>
      <c r="Q41" s="13" t="s">
        <v>28</v>
      </c>
      <c r="R41" s="14">
        <v>0</v>
      </c>
      <c r="S41" s="14" t="e">
        <f>VLOOKUP(I41,#REF!,2,FALSE)</f>
        <v>#REF!</v>
      </c>
      <c r="T41" s="14" t="e">
        <f t="shared" si="0"/>
        <v>#REF!</v>
      </c>
    </row>
    <row r="42" spans="1:20" x14ac:dyDescent="0.45">
      <c r="A42" s="9" t="s">
        <v>19</v>
      </c>
      <c r="B42" s="9" t="s">
        <v>122</v>
      </c>
      <c r="C42" s="9" t="s">
        <v>21</v>
      </c>
      <c r="D42" s="9" t="s">
        <v>46</v>
      </c>
      <c r="E42" s="9" t="s">
        <v>147</v>
      </c>
      <c r="F42" s="9" t="s">
        <v>148</v>
      </c>
      <c r="G42" s="9">
        <v>6040342560</v>
      </c>
      <c r="H42" s="9" t="s">
        <v>146</v>
      </c>
      <c r="I42" s="9" t="s">
        <v>32</v>
      </c>
      <c r="J42" s="9" t="s">
        <v>21</v>
      </c>
      <c r="K42" s="9" t="s">
        <v>27</v>
      </c>
      <c r="L42" s="9" t="e">
        <f>VLOOKUP(J42,#REF!,2,FALSE)</f>
        <v>#REF!</v>
      </c>
      <c r="M42" s="9"/>
      <c r="N42" s="11" t="s">
        <v>28</v>
      </c>
      <c r="O42" s="12"/>
      <c r="P42" s="13" t="s">
        <v>29</v>
      </c>
      <c r="Q42" s="13" t="s">
        <v>28</v>
      </c>
      <c r="R42" s="14">
        <v>500000</v>
      </c>
      <c r="S42" s="14" t="e">
        <f>VLOOKUP(I42,#REF!,2,FALSE)</f>
        <v>#REF!</v>
      </c>
      <c r="T42" s="14" t="e">
        <f t="shared" si="0"/>
        <v>#REF!</v>
      </c>
    </row>
    <row r="43" spans="1:20" x14ac:dyDescent="0.45">
      <c r="A43" s="9" t="s">
        <v>19</v>
      </c>
      <c r="B43" s="9" t="s">
        <v>122</v>
      </c>
      <c r="C43" s="9" t="s">
        <v>21</v>
      </c>
      <c r="D43" s="9" t="s">
        <v>52</v>
      </c>
      <c r="E43" s="9" t="s">
        <v>149</v>
      </c>
      <c r="F43" s="9" t="s">
        <v>150</v>
      </c>
      <c r="G43" s="9">
        <v>0</v>
      </c>
      <c r="H43" s="9" t="s">
        <v>55</v>
      </c>
      <c r="I43" s="9" t="s">
        <v>26</v>
      </c>
      <c r="J43" s="9" t="s">
        <v>21</v>
      </c>
      <c r="K43" s="9" t="s">
        <v>27</v>
      </c>
      <c r="L43" s="9" t="e">
        <f>VLOOKUP(J43,#REF!,2,FALSE)</f>
        <v>#REF!</v>
      </c>
      <c r="M43" s="9"/>
      <c r="N43" s="11" t="s">
        <v>28</v>
      </c>
      <c r="O43" s="12"/>
      <c r="P43" s="13" t="s">
        <v>28</v>
      </c>
      <c r="Q43" s="13" t="s">
        <v>28</v>
      </c>
      <c r="R43" s="14" t="e">
        <v>#N/A</v>
      </c>
      <c r="S43" s="14" t="e">
        <f>VLOOKUP(I43,#REF!,2,FALSE)</f>
        <v>#REF!</v>
      </c>
      <c r="T43" s="14" t="e">
        <f t="shared" si="0"/>
        <v>#N/A</v>
      </c>
    </row>
    <row r="44" spans="1:20" x14ac:dyDescent="0.45">
      <c r="A44" s="9" t="s">
        <v>19</v>
      </c>
      <c r="B44" s="9" t="s">
        <v>151</v>
      </c>
      <c r="C44" s="9" t="s">
        <v>152</v>
      </c>
      <c r="D44" s="9" t="s">
        <v>153</v>
      </c>
      <c r="E44" s="9" t="s">
        <v>154</v>
      </c>
      <c r="F44" s="9" t="s">
        <v>155</v>
      </c>
      <c r="G44" s="9" t="s">
        <v>155</v>
      </c>
      <c r="H44" s="9" t="s">
        <v>156</v>
      </c>
      <c r="I44" s="9" t="s">
        <v>157</v>
      </c>
      <c r="J44" s="9" t="s">
        <v>152</v>
      </c>
      <c r="K44" s="9" t="s">
        <v>27</v>
      </c>
      <c r="L44" s="9" t="e">
        <f>VLOOKUP(J44,#REF!,2,FALSE)</f>
        <v>#REF!</v>
      </c>
      <c r="M44" s="9" t="s">
        <v>61</v>
      </c>
      <c r="N44" s="11" t="s">
        <v>29</v>
      </c>
      <c r="O44" s="12" t="s">
        <v>29</v>
      </c>
      <c r="P44" s="13" t="s">
        <v>29</v>
      </c>
      <c r="Q44" s="13" t="s">
        <v>28</v>
      </c>
      <c r="R44" s="14">
        <v>12098678</v>
      </c>
      <c r="S44" s="14" t="e">
        <f>VLOOKUP(I44,#REF!,2,FALSE)</f>
        <v>#REF!</v>
      </c>
      <c r="T44" s="14" t="e">
        <f t="shared" si="0"/>
        <v>#REF!</v>
      </c>
    </row>
    <row r="45" spans="1:20" x14ac:dyDescent="0.45">
      <c r="A45" s="9" t="s">
        <v>19</v>
      </c>
      <c r="B45" s="9" t="s">
        <v>151</v>
      </c>
      <c r="C45" s="9" t="s">
        <v>152</v>
      </c>
      <c r="D45" s="9" t="s">
        <v>153</v>
      </c>
      <c r="E45" s="9" t="s">
        <v>158</v>
      </c>
      <c r="F45" s="9" t="s">
        <v>159</v>
      </c>
      <c r="G45" s="9" t="s">
        <v>159</v>
      </c>
      <c r="H45" s="9" t="s">
        <v>160</v>
      </c>
      <c r="I45" s="9" t="s">
        <v>157</v>
      </c>
      <c r="J45" s="9" t="s">
        <v>152</v>
      </c>
      <c r="K45" s="9" t="s">
        <v>27</v>
      </c>
      <c r="L45" s="9" t="e">
        <f>VLOOKUP(J45,#REF!,2,FALSE)</f>
        <v>#REF!</v>
      </c>
      <c r="M45" s="9" t="s">
        <v>61</v>
      </c>
      <c r="N45" s="11" t="s">
        <v>29</v>
      </c>
      <c r="O45" s="12" t="s">
        <v>29</v>
      </c>
      <c r="P45" s="13" t="s">
        <v>29</v>
      </c>
      <c r="Q45" s="13" t="s">
        <v>28</v>
      </c>
      <c r="R45" s="14">
        <v>916211751</v>
      </c>
      <c r="S45" s="14" t="e">
        <f>VLOOKUP(I45,#REF!,2,FALSE)</f>
        <v>#REF!</v>
      </c>
      <c r="T45" s="14" t="e">
        <f t="shared" si="0"/>
        <v>#REF!</v>
      </c>
    </row>
    <row r="46" spans="1:20" x14ac:dyDescent="0.45">
      <c r="A46" s="9" t="s">
        <v>19</v>
      </c>
      <c r="B46" s="9" t="s">
        <v>151</v>
      </c>
      <c r="C46" s="9" t="s">
        <v>152</v>
      </c>
      <c r="D46" s="9" t="s">
        <v>161</v>
      </c>
      <c r="E46" s="9" t="s">
        <v>162</v>
      </c>
      <c r="F46" s="9" t="s">
        <v>163</v>
      </c>
      <c r="G46" s="9" t="s">
        <v>163</v>
      </c>
      <c r="H46" s="9" t="s">
        <v>129</v>
      </c>
      <c r="I46" s="9" t="s">
        <v>157</v>
      </c>
      <c r="J46" s="9" t="s">
        <v>152</v>
      </c>
      <c r="K46" s="9" t="s">
        <v>27</v>
      </c>
      <c r="L46" s="9" t="e">
        <f>VLOOKUP(J46,#REF!,2,FALSE)</f>
        <v>#REF!</v>
      </c>
      <c r="M46" s="9" t="s">
        <v>61</v>
      </c>
      <c r="N46" s="11" t="s">
        <v>28</v>
      </c>
      <c r="O46" s="12" t="s">
        <v>29</v>
      </c>
      <c r="P46" s="13" t="s">
        <v>29</v>
      </c>
      <c r="Q46" s="13" t="s">
        <v>28</v>
      </c>
      <c r="R46" s="14">
        <v>133336420</v>
      </c>
      <c r="S46" s="14" t="e">
        <f>VLOOKUP(I46,#REF!,2,FALSE)</f>
        <v>#REF!</v>
      </c>
      <c r="T46" s="14" t="e">
        <f t="shared" si="0"/>
        <v>#REF!</v>
      </c>
    </row>
    <row r="47" spans="1:20" x14ac:dyDescent="0.45">
      <c r="A47" s="9" t="s">
        <v>19</v>
      </c>
      <c r="B47" s="9" t="s">
        <v>151</v>
      </c>
      <c r="C47" s="9" t="s">
        <v>152</v>
      </c>
      <c r="D47" s="9" t="s">
        <v>164</v>
      </c>
      <c r="E47" s="9" t="s">
        <v>165</v>
      </c>
      <c r="F47" s="9" t="s">
        <v>166</v>
      </c>
      <c r="G47" s="9" t="s">
        <v>166</v>
      </c>
      <c r="H47" s="9" t="s">
        <v>129</v>
      </c>
      <c r="I47" s="9" t="s">
        <v>157</v>
      </c>
      <c r="J47" s="9" t="s">
        <v>152</v>
      </c>
      <c r="K47" s="9" t="s">
        <v>27</v>
      </c>
      <c r="L47" s="9" t="e">
        <f>VLOOKUP(J47,#REF!,2,FALSE)</f>
        <v>#REF!</v>
      </c>
      <c r="M47" s="9" t="s">
        <v>61</v>
      </c>
      <c r="N47" s="11" t="s">
        <v>28</v>
      </c>
      <c r="O47" s="12" t="s">
        <v>29</v>
      </c>
      <c r="P47" s="13" t="s">
        <v>29</v>
      </c>
      <c r="Q47" s="13" t="s">
        <v>28</v>
      </c>
      <c r="R47" s="14">
        <v>95320605</v>
      </c>
      <c r="S47" s="14" t="e">
        <f>VLOOKUP(I47,#REF!,2,FALSE)</f>
        <v>#REF!</v>
      </c>
      <c r="T47" s="14" t="e">
        <f t="shared" si="0"/>
        <v>#REF!</v>
      </c>
    </row>
    <row r="48" spans="1:20" x14ac:dyDescent="0.45">
      <c r="A48" s="9" t="s">
        <v>19</v>
      </c>
      <c r="B48" s="9" t="s">
        <v>151</v>
      </c>
      <c r="C48" s="9" t="s">
        <v>152</v>
      </c>
      <c r="D48" s="9" t="s">
        <v>167</v>
      </c>
      <c r="E48" s="9" t="s">
        <v>168</v>
      </c>
      <c r="F48" s="9" t="s">
        <v>169</v>
      </c>
      <c r="G48" s="9" t="s">
        <v>169</v>
      </c>
      <c r="H48" s="9" t="s">
        <v>25</v>
      </c>
      <c r="I48" s="9" t="s">
        <v>157</v>
      </c>
      <c r="J48" s="9" t="s">
        <v>152</v>
      </c>
      <c r="K48" s="9" t="s">
        <v>27</v>
      </c>
      <c r="L48" s="9" t="e">
        <f>VLOOKUP(J48,#REF!,2,FALSE)</f>
        <v>#REF!</v>
      </c>
      <c r="M48" s="9" t="s">
        <v>170</v>
      </c>
      <c r="N48" s="11" t="s">
        <v>28</v>
      </c>
      <c r="O48" s="12" t="s">
        <v>29</v>
      </c>
      <c r="P48" s="13" t="s">
        <v>29</v>
      </c>
      <c r="Q48" s="13" t="s">
        <v>28</v>
      </c>
      <c r="R48" s="14">
        <v>192968800</v>
      </c>
      <c r="S48" s="14" t="e">
        <f>VLOOKUP(I48,#REF!,2,FALSE)</f>
        <v>#REF!</v>
      </c>
      <c r="T48" s="14" t="e">
        <f t="shared" si="0"/>
        <v>#REF!</v>
      </c>
    </row>
    <row r="49" spans="1:20" x14ac:dyDescent="0.45">
      <c r="A49" s="9" t="s">
        <v>19</v>
      </c>
      <c r="B49" s="9" t="s">
        <v>151</v>
      </c>
      <c r="C49" s="9" t="s">
        <v>152</v>
      </c>
      <c r="D49" s="9" t="s">
        <v>171</v>
      </c>
      <c r="E49" s="9" t="s">
        <v>172</v>
      </c>
      <c r="F49" s="9" t="s">
        <v>173</v>
      </c>
      <c r="G49" s="9" t="s">
        <v>173</v>
      </c>
      <c r="H49" s="9" t="s">
        <v>25</v>
      </c>
      <c r="I49" s="9" t="s">
        <v>157</v>
      </c>
      <c r="J49" s="9" t="s">
        <v>152</v>
      </c>
      <c r="K49" s="9" t="s">
        <v>27</v>
      </c>
      <c r="L49" s="9" t="e">
        <f>VLOOKUP(J49,#REF!,2,FALSE)</f>
        <v>#REF!</v>
      </c>
      <c r="M49" s="9" t="s">
        <v>61</v>
      </c>
      <c r="N49" s="11" t="s">
        <v>28</v>
      </c>
      <c r="O49" s="12" t="s">
        <v>29</v>
      </c>
      <c r="P49" s="13" t="s">
        <v>29</v>
      </c>
      <c r="Q49" s="13" t="s">
        <v>28</v>
      </c>
      <c r="R49" s="14">
        <v>1317648340</v>
      </c>
      <c r="S49" s="14" t="e">
        <f>VLOOKUP(I49,#REF!,2,FALSE)</f>
        <v>#REF!</v>
      </c>
      <c r="T49" s="14" t="e">
        <f t="shared" si="0"/>
        <v>#REF!</v>
      </c>
    </row>
    <row r="50" spans="1:20" x14ac:dyDescent="0.45">
      <c r="A50" s="9" t="s">
        <v>19</v>
      </c>
      <c r="B50" s="9" t="s">
        <v>151</v>
      </c>
      <c r="C50" s="9" t="s">
        <v>152</v>
      </c>
      <c r="D50" s="9" t="s">
        <v>174</v>
      </c>
      <c r="E50" s="9" t="s">
        <v>175</v>
      </c>
      <c r="F50" s="9" t="s">
        <v>176</v>
      </c>
      <c r="G50" s="9">
        <v>114670001</v>
      </c>
      <c r="H50" s="9" t="s">
        <v>25</v>
      </c>
      <c r="I50" s="9" t="s">
        <v>157</v>
      </c>
      <c r="J50" s="9" t="s">
        <v>152</v>
      </c>
      <c r="K50" s="9" t="s">
        <v>27</v>
      </c>
      <c r="L50" s="9" t="e">
        <f>VLOOKUP(J50,#REF!,2,FALSE)</f>
        <v>#REF!</v>
      </c>
      <c r="M50" s="9" t="s">
        <v>61</v>
      </c>
      <c r="N50" s="11" t="s">
        <v>28</v>
      </c>
      <c r="O50" s="12" t="s">
        <v>29</v>
      </c>
      <c r="P50" s="13" t="s">
        <v>29</v>
      </c>
      <c r="Q50" s="13" t="s">
        <v>28</v>
      </c>
      <c r="R50" s="14">
        <v>710159671</v>
      </c>
      <c r="S50" s="14" t="e">
        <f>VLOOKUP(I50,#REF!,2,FALSE)</f>
        <v>#REF!</v>
      </c>
      <c r="T50" s="14" t="e">
        <f t="shared" si="0"/>
        <v>#REF!</v>
      </c>
    </row>
    <row r="51" spans="1:20" x14ac:dyDescent="0.45">
      <c r="A51" s="9" t="s">
        <v>19</v>
      </c>
      <c r="B51" s="9" t="s">
        <v>151</v>
      </c>
      <c r="C51" s="9" t="s">
        <v>152</v>
      </c>
      <c r="D51" s="9" t="s">
        <v>164</v>
      </c>
      <c r="E51" s="9" t="s">
        <v>177</v>
      </c>
      <c r="F51" s="9" t="s">
        <v>178</v>
      </c>
      <c r="G51" s="9" t="s">
        <v>178</v>
      </c>
      <c r="H51" s="9" t="s">
        <v>25</v>
      </c>
      <c r="I51" s="9" t="s">
        <v>157</v>
      </c>
      <c r="J51" s="9" t="s">
        <v>152</v>
      </c>
      <c r="K51" s="9" t="s">
        <v>27</v>
      </c>
      <c r="L51" s="9" t="e">
        <f>VLOOKUP(J51,#REF!,2,FALSE)</f>
        <v>#REF!</v>
      </c>
      <c r="M51" s="9" t="s">
        <v>61</v>
      </c>
      <c r="N51" s="11" t="s">
        <v>28</v>
      </c>
      <c r="O51" s="12" t="s">
        <v>29</v>
      </c>
      <c r="P51" s="13" t="s">
        <v>29</v>
      </c>
      <c r="Q51" s="13" t="s">
        <v>28</v>
      </c>
      <c r="R51" s="14">
        <v>2312440</v>
      </c>
      <c r="S51" s="14" t="e">
        <f>VLOOKUP(I51,#REF!,2,FALSE)</f>
        <v>#REF!</v>
      </c>
      <c r="T51" s="14" t="e">
        <f t="shared" si="0"/>
        <v>#REF!</v>
      </c>
    </row>
    <row r="52" spans="1:20" x14ac:dyDescent="0.45">
      <c r="A52" s="9" t="s">
        <v>19</v>
      </c>
      <c r="B52" s="9" t="s">
        <v>151</v>
      </c>
      <c r="C52" s="9" t="s">
        <v>152</v>
      </c>
      <c r="D52" s="9" t="s">
        <v>179</v>
      </c>
      <c r="E52" s="9" t="s">
        <v>180</v>
      </c>
      <c r="F52" s="9" t="s">
        <v>181</v>
      </c>
      <c r="G52" s="9">
        <v>2250584506151</v>
      </c>
      <c r="H52" s="9" t="s">
        <v>55</v>
      </c>
      <c r="I52" s="9" t="s">
        <v>157</v>
      </c>
      <c r="J52" s="9" t="s">
        <v>152</v>
      </c>
      <c r="K52" s="9" t="s">
        <v>27</v>
      </c>
      <c r="L52" s="9" t="e">
        <f>VLOOKUP(J52,#REF!,2,FALSE)</f>
        <v>#REF!</v>
      </c>
      <c r="M52" s="9" t="s">
        <v>170</v>
      </c>
      <c r="N52" s="11" t="s">
        <v>28</v>
      </c>
      <c r="O52" s="12" t="s">
        <v>29</v>
      </c>
      <c r="P52" s="13" t="s">
        <v>29</v>
      </c>
      <c r="Q52" s="13" t="s">
        <v>28</v>
      </c>
      <c r="R52" s="14">
        <v>61787451</v>
      </c>
      <c r="S52" s="14" t="e">
        <f>VLOOKUP(I52,#REF!,2,FALSE)</f>
        <v>#REF!</v>
      </c>
      <c r="T52" s="14" t="e">
        <f t="shared" si="0"/>
        <v>#REF!</v>
      </c>
    </row>
    <row r="53" spans="1:20" x14ac:dyDescent="0.45">
      <c r="A53" s="9" t="s">
        <v>19</v>
      </c>
      <c r="B53" s="9" t="s">
        <v>182</v>
      </c>
      <c r="C53" s="9" t="s">
        <v>183</v>
      </c>
      <c r="D53" s="9" t="s">
        <v>184</v>
      </c>
      <c r="E53" s="9" t="s">
        <v>185</v>
      </c>
      <c r="F53" s="9" t="s">
        <v>186</v>
      </c>
      <c r="G53" s="9">
        <v>120138015055028</v>
      </c>
      <c r="H53" s="9" t="s">
        <v>187</v>
      </c>
      <c r="I53" s="9" t="s">
        <v>157</v>
      </c>
      <c r="J53" s="9" t="s">
        <v>183</v>
      </c>
      <c r="K53" s="9" t="s">
        <v>27</v>
      </c>
      <c r="L53" s="9" t="e">
        <f>VLOOKUP(J53,#REF!,2,FALSE)</f>
        <v>#REF!</v>
      </c>
      <c r="M53" s="9" t="s">
        <v>61</v>
      </c>
      <c r="N53" s="11" t="s">
        <v>28</v>
      </c>
      <c r="O53" s="12" t="s">
        <v>29</v>
      </c>
      <c r="P53" s="13" t="s">
        <v>29</v>
      </c>
      <c r="Q53" s="13" t="s">
        <v>28</v>
      </c>
      <c r="R53" s="14">
        <v>0</v>
      </c>
      <c r="S53" s="14" t="e">
        <f>VLOOKUP(I53,#REF!,2,FALSE)</f>
        <v>#REF!</v>
      </c>
      <c r="T53" s="14" t="e">
        <f t="shared" si="0"/>
        <v>#REF!</v>
      </c>
    </row>
    <row r="54" spans="1:20" s="16" customFormat="1" x14ac:dyDescent="0.45">
      <c r="A54" s="9" t="s">
        <v>19</v>
      </c>
      <c r="B54" s="9" t="s">
        <v>182</v>
      </c>
      <c r="C54" s="9" t="s">
        <v>183</v>
      </c>
      <c r="D54" s="9" t="s">
        <v>188</v>
      </c>
      <c r="E54" s="9" t="s">
        <v>189</v>
      </c>
      <c r="F54" s="9">
        <v>36200802330</v>
      </c>
      <c r="G54" s="9">
        <v>36200802330</v>
      </c>
      <c r="H54" s="9" t="s">
        <v>187</v>
      </c>
      <c r="I54" s="9" t="s">
        <v>157</v>
      </c>
      <c r="J54" s="9" t="s">
        <v>183</v>
      </c>
      <c r="K54" s="9" t="s">
        <v>27</v>
      </c>
      <c r="L54" s="9" t="e">
        <f>VLOOKUP(J54,#REF!,2,FALSE)</f>
        <v>#REF!</v>
      </c>
      <c r="M54" s="9" t="s">
        <v>61</v>
      </c>
      <c r="N54" s="11" t="s">
        <v>28</v>
      </c>
      <c r="O54" s="12" t="s">
        <v>29</v>
      </c>
      <c r="P54" s="12" t="s">
        <v>29</v>
      </c>
      <c r="Q54" s="12" t="s">
        <v>28</v>
      </c>
      <c r="R54" s="14" t="e">
        <v>#N/A</v>
      </c>
      <c r="S54" s="14" t="e">
        <f>VLOOKUP(I54,#REF!,2,FALSE)</f>
        <v>#REF!</v>
      </c>
      <c r="T54" s="14" t="e">
        <f t="shared" si="0"/>
        <v>#N/A</v>
      </c>
    </row>
    <row r="55" spans="1:20" x14ac:dyDescent="0.45">
      <c r="A55" s="9" t="s">
        <v>19</v>
      </c>
      <c r="B55" s="9" t="s">
        <v>182</v>
      </c>
      <c r="C55" s="9" t="s">
        <v>183</v>
      </c>
      <c r="D55" s="9" t="s">
        <v>190</v>
      </c>
      <c r="E55" s="9" t="s">
        <v>191</v>
      </c>
      <c r="F55" s="9" t="s">
        <v>192</v>
      </c>
      <c r="G55" s="9">
        <v>2504120004</v>
      </c>
      <c r="H55" s="9" t="s">
        <v>193</v>
      </c>
      <c r="I55" s="9" t="s">
        <v>157</v>
      </c>
      <c r="J55" s="9" t="s">
        <v>183</v>
      </c>
      <c r="K55" s="9" t="s">
        <v>27</v>
      </c>
      <c r="L55" s="9" t="e">
        <f>VLOOKUP(J55,#REF!,2,FALSE)</f>
        <v>#REF!</v>
      </c>
      <c r="M55" s="9" t="s">
        <v>61</v>
      </c>
      <c r="N55" s="11" t="s">
        <v>28</v>
      </c>
      <c r="O55" s="12" t="s">
        <v>29</v>
      </c>
      <c r="P55" s="13" t="s">
        <v>29</v>
      </c>
      <c r="Q55" s="13" t="s">
        <v>28</v>
      </c>
      <c r="R55" s="14">
        <v>185106243</v>
      </c>
      <c r="S55" s="14" t="e">
        <f>VLOOKUP(I55,#REF!,2,FALSE)</f>
        <v>#REF!</v>
      </c>
      <c r="T55" s="14" t="e">
        <f t="shared" si="0"/>
        <v>#REF!</v>
      </c>
    </row>
    <row r="56" spans="1:20" x14ac:dyDescent="0.45">
      <c r="A56" s="9" t="s">
        <v>19</v>
      </c>
      <c r="B56" s="9" t="s">
        <v>182</v>
      </c>
      <c r="C56" s="9" t="s">
        <v>183</v>
      </c>
      <c r="D56" s="9" t="s">
        <v>194</v>
      </c>
      <c r="E56" s="9" t="s">
        <v>195</v>
      </c>
      <c r="F56" s="9" t="s">
        <v>196</v>
      </c>
      <c r="G56" s="9" t="s">
        <v>196</v>
      </c>
      <c r="H56" s="9" t="s">
        <v>129</v>
      </c>
      <c r="I56" s="9" t="s">
        <v>157</v>
      </c>
      <c r="J56" s="9" t="s">
        <v>183</v>
      </c>
      <c r="K56" s="9" t="s">
        <v>27</v>
      </c>
      <c r="L56" s="9" t="e">
        <f>VLOOKUP(J56,#REF!,2,FALSE)</f>
        <v>#REF!</v>
      </c>
      <c r="M56" s="9" t="s">
        <v>61</v>
      </c>
      <c r="N56" s="11" t="s">
        <v>28</v>
      </c>
      <c r="O56" s="12" t="s">
        <v>29</v>
      </c>
      <c r="P56" s="13" t="s">
        <v>29</v>
      </c>
      <c r="Q56" s="13" t="s">
        <v>28</v>
      </c>
      <c r="R56" s="14">
        <v>1767942326</v>
      </c>
      <c r="S56" s="14" t="e">
        <f>VLOOKUP(I56,#REF!,2,FALSE)</f>
        <v>#REF!</v>
      </c>
      <c r="T56" s="14" t="e">
        <f t="shared" si="0"/>
        <v>#REF!</v>
      </c>
    </row>
    <row r="57" spans="1:20" x14ac:dyDescent="0.45">
      <c r="A57" s="9" t="s">
        <v>19</v>
      </c>
      <c r="B57" s="9" t="s">
        <v>182</v>
      </c>
      <c r="C57" s="9" t="s">
        <v>183</v>
      </c>
      <c r="D57" s="9" t="s">
        <v>197</v>
      </c>
      <c r="E57" s="9" t="s">
        <v>198</v>
      </c>
      <c r="F57" s="9" t="s">
        <v>199</v>
      </c>
      <c r="G57" s="9">
        <v>100165001</v>
      </c>
      <c r="H57" s="9" t="s">
        <v>129</v>
      </c>
      <c r="I57" s="9" t="s">
        <v>157</v>
      </c>
      <c r="J57" s="9" t="s">
        <v>183</v>
      </c>
      <c r="K57" s="9" t="s">
        <v>27</v>
      </c>
      <c r="L57" s="9" t="e">
        <f>VLOOKUP(J57,#REF!,2,FALSE)</f>
        <v>#REF!</v>
      </c>
      <c r="M57" s="9" t="s">
        <v>61</v>
      </c>
      <c r="N57" s="11" t="s">
        <v>28</v>
      </c>
      <c r="O57" s="12" t="s">
        <v>29</v>
      </c>
      <c r="P57" s="13" t="s">
        <v>29</v>
      </c>
      <c r="Q57" s="13" t="s">
        <v>28</v>
      </c>
      <c r="R57" s="14">
        <v>1687757390</v>
      </c>
      <c r="S57" s="14" t="e">
        <f>VLOOKUP(I57,#REF!,2,FALSE)</f>
        <v>#REF!</v>
      </c>
      <c r="T57" s="14" t="e">
        <f t="shared" si="0"/>
        <v>#REF!</v>
      </c>
    </row>
    <row r="58" spans="1:20" x14ac:dyDescent="0.45">
      <c r="A58" s="9" t="s">
        <v>19</v>
      </c>
      <c r="B58" s="9" t="s">
        <v>182</v>
      </c>
      <c r="C58" s="9" t="s">
        <v>183</v>
      </c>
      <c r="D58" s="9" t="s">
        <v>200</v>
      </c>
      <c r="E58" s="9" t="s">
        <v>201</v>
      </c>
      <c r="F58" s="9" t="s">
        <v>202</v>
      </c>
      <c r="G58" s="9">
        <v>5000802337</v>
      </c>
      <c r="H58" s="9" t="s">
        <v>129</v>
      </c>
      <c r="I58" s="9" t="s">
        <v>157</v>
      </c>
      <c r="J58" s="9" t="s">
        <v>183</v>
      </c>
      <c r="K58" s="9" t="s">
        <v>27</v>
      </c>
      <c r="L58" s="9" t="e">
        <f>VLOOKUP(J58,#REF!,2,FALSE)</f>
        <v>#REF!</v>
      </c>
      <c r="M58" s="9" t="s">
        <v>61</v>
      </c>
      <c r="N58" s="11" t="s">
        <v>28</v>
      </c>
      <c r="O58" s="12" t="s">
        <v>29</v>
      </c>
      <c r="P58" s="13" t="s">
        <v>29</v>
      </c>
      <c r="Q58" s="13" t="s">
        <v>28</v>
      </c>
      <c r="R58" s="14">
        <v>93663947</v>
      </c>
      <c r="S58" s="14" t="e">
        <f>VLOOKUP(I58,#REF!,2,FALSE)</f>
        <v>#REF!</v>
      </c>
      <c r="T58" s="14" t="e">
        <f t="shared" si="0"/>
        <v>#REF!</v>
      </c>
    </row>
    <row r="59" spans="1:20" x14ac:dyDescent="0.45">
      <c r="A59" s="9" t="s">
        <v>19</v>
      </c>
      <c r="B59" s="9" t="s">
        <v>182</v>
      </c>
      <c r="C59" s="9" t="s">
        <v>183</v>
      </c>
      <c r="D59" s="9" t="s">
        <v>203</v>
      </c>
      <c r="E59" s="9" t="s">
        <v>204</v>
      </c>
      <c r="F59" s="9" t="s">
        <v>205</v>
      </c>
      <c r="G59" s="9">
        <v>82500020002</v>
      </c>
      <c r="H59" s="9" t="s">
        <v>25</v>
      </c>
      <c r="I59" s="9" t="s">
        <v>157</v>
      </c>
      <c r="J59" s="9" t="s">
        <v>183</v>
      </c>
      <c r="K59" s="9" t="s">
        <v>27</v>
      </c>
      <c r="L59" s="9" t="e">
        <f>VLOOKUP(J59,#REF!,2,FALSE)</f>
        <v>#REF!</v>
      </c>
      <c r="M59" s="9" t="s">
        <v>61</v>
      </c>
      <c r="N59" s="11" t="s">
        <v>28</v>
      </c>
      <c r="O59" s="12" t="s">
        <v>29</v>
      </c>
      <c r="P59" s="13" t="s">
        <v>29</v>
      </c>
      <c r="Q59" s="13" t="s">
        <v>28</v>
      </c>
      <c r="R59" s="14">
        <v>555503672</v>
      </c>
      <c r="S59" s="14" t="e">
        <f>VLOOKUP(I59,#REF!,2,FALSE)</f>
        <v>#REF!</v>
      </c>
      <c r="T59" s="14" t="e">
        <f t="shared" si="0"/>
        <v>#REF!</v>
      </c>
    </row>
    <row r="60" spans="1:20" x14ac:dyDescent="0.45">
      <c r="A60" s="9" t="s">
        <v>19</v>
      </c>
      <c r="B60" s="9" t="s">
        <v>182</v>
      </c>
      <c r="C60" s="9" t="s">
        <v>183</v>
      </c>
      <c r="D60" s="9" t="s">
        <v>184</v>
      </c>
      <c r="E60" s="9" t="s">
        <v>206</v>
      </c>
      <c r="F60" s="9" t="s">
        <v>207</v>
      </c>
      <c r="G60" s="9">
        <v>20136011297</v>
      </c>
      <c r="H60" s="9" t="s">
        <v>25</v>
      </c>
      <c r="I60" s="9" t="s">
        <v>157</v>
      </c>
      <c r="J60" s="9" t="s">
        <v>183</v>
      </c>
      <c r="K60" s="9" t="s">
        <v>27</v>
      </c>
      <c r="L60" s="9" t="e">
        <f>VLOOKUP(J60,#REF!,2,FALSE)</f>
        <v>#REF!</v>
      </c>
      <c r="M60" s="9" t="s">
        <v>61</v>
      </c>
      <c r="N60" s="11" t="s">
        <v>28</v>
      </c>
      <c r="O60" s="12" t="s">
        <v>29</v>
      </c>
      <c r="P60" s="13" t="s">
        <v>29</v>
      </c>
      <c r="Q60" s="13" t="s">
        <v>28</v>
      </c>
      <c r="R60" s="14">
        <v>648230079</v>
      </c>
      <c r="S60" s="14" t="e">
        <f>VLOOKUP(I60,#REF!,2,FALSE)</f>
        <v>#REF!</v>
      </c>
      <c r="T60" s="14" t="e">
        <f t="shared" si="0"/>
        <v>#REF!</v>
      </c>
    </row>
    <row r="61" spans="1:20" x14ac:dyDescent="0.45">
      <c r="A61" s="9" t="s">
        <v>19</v>
      </c>
      <c r="B61" s="9" t="s">
        <v>182</v>
      </c>
      <c r="C61" s="9" t="s">
        <v>183</v>
      </c>
      <c r="D61" s="9" t="s">
        <v>208</v>
      </c>
      <c r="E61" s="9" t="s">
        <v>209</v>
      </c>
      <c r="F61" s="9" t="s">
        <v>210</v>
      </c>
      <c r="G61" s="9" t="s">
        <v>210</v>
      </c>
      <c r="H61" s="9" t="s">
        <v>25</v>
      </c>
      <c r="I61" s="9" t="s">
        <v>157</v>
      </c>
      <c r="J61" s="9" t="s">
        <v>152</v>
      </c>
      <c r="K61" s="9" t="s">
        <v>27</v>
      </c>
      <c r="L61" s="9" t="e">
        <f>VLOOKUP(J61,#REF!,2,FALSE)</f>
        <v>#REF!</v>
      </c>
      <c r="M61" s="9" t="s">
        <v>61</v>
      </c>
      <c r="N61" s="11" t="s">
        <v>28</v>
      </c>
      <c r="O61" s="12" t="s">
        <v>29</v>
      </c>
      <c r="P61" s="13" t="s">
        <v>29</v>
      </c>
      <c r="Q61" s="13" t="s">
        <v>28</v>
      </c>
      <c r="R61" s="14">
        <v>8518293794</v>
      </c>
      <c r="S61" s="14" t="e">
        <f>VLOOKUP(I61,#REF!,2,FALSE)</f>
        <v>#REF!</v>
      </c>
      <c r="T61" s="14" t="e">
        <f t="shared" si="0"/>
        <v>#REF!</v>
      </c>
    </row>
    <row r="62" spans="1:20" x14ac:dyDescent="0.45">
      <c r="A62" s="9" t="s">
        <v>19</v>
      </c>
      <c r="B62" s="9" t="s">
        <v>182</v>
      </c>
      <c r="C62" s="9" t="s">
        <v>183</v>
      </c>
      <c r="D62" s="9" t="s">
        <v>211</v>
      </c>
      <c r="E62" s="9" t="s">
        <v>212</v>
      </c>
      <c r="F62" s="9" t="s">
        <v>213</v>
      </c>
      <c r="G62" s="9">
        <v>5056</v>
      </c>
      <c r="H62" s="9" t="s">
        <v>214</v>
      </c>
      <c r="I62" s="9" t="s">
        <v>157</v>
      </c>
      <c r="J62" s="9" t="s">
        <v>183</v>
      </c>
      <c r="K62" s="9" t="s">
        <v>27</v>
      </c>
      <c r="L62" s="9" t="e">
        <f>VLOOKUP(J62,#REF!,2,FALSE)</f>
        <v>#REF!</v>
      </c>
      <c r="M62" s="9" t="s">
        <v>170</v>
      </c>
      <c r="N62" s="11" t="s">
        <v>28</v>
      </c>
      <c r="O62" s="12" t="s">
        <v>28</v>
      </c>
      <c r="P62" s="13" t="s">
        <v>28</v>
      </c>
      <c r="Q62" s="13" t="s">
        <v>28</v>
      </c>
      <c r="R62" s="14" t="e">
        <v>#N/A</v>
      </c>
      <c r="S62" s="14" t="e">
        <f>VLOOKUP(I62,#REF!,2,FALSE)</f>
        <v>#REF!</v>
      </c>
      <c r="T62" s="14" t="e">
        <f t="shared" si="0"/>
        <v>#N/A</v>
      </c>
    </row>
    <row r="63" spans="1:20" x14ac:dyDescent="0.45">
      <c r="A63" s="9" t="s">
        <v>19</v>
      </c>
      <c r="B63" s="9" t="s">
        <v>215</v>
      </c>
      <c r="C63" s="9" t="s">
        <v>216</v>
      </c>
      <c r="D63" s="9" t="s">
        <v>217</v>
      </c>
      <c r="E63" s="9" t="s">
        <v>218</v>
      </c>
      <c r="F63" s="9" t="s">
        <v>219</v>
      </c>
      <c r="G63" s="9" t="s">
        <v>219</v>
      </c>
      <c r="H63" s="9" t="s">
        <v>160</v>
      </c>
      <c r="I63" s="9" t="s">
        <v>220</v>
      </c>
      <c r="J63" s="9" t="s">
        <v>216</v>
      </c>
      <c r="K63" s="9" t="s">
        <v>27</v>
      </c>
      <c r="L63" s="9" t="e">
        <f>VLOOKUP(J63,#REF!,2,FALSE)</f>
        <v>#REF!</v>
      </c>
      <c r="M63" s="9"/>
      <c r="N63" s="11" t="s">
        <v>29</v>
      </c>
      <c r="O63" s="15"/>
      <c r="P63" s="13" t="s">
        <v>29</v>
      </c>
      <c r="Q63" s="13" t="s">
        <v>28</v>
      </c>
      <c r="R63" s="14">
        <v>854445674</v>
      </c>
      <c r="S63" s="14" t="e">
        <f>VLOOKUP(I63,#REF!,2,FALSE)</f>
        <v>#REF!</v>
      </c>
      <c r="T63" s="14" t="e">
        <f t="shared" si="0"/>
        <v>#REF!</v>
      </c>
    </row>
    <row r="64" spans="1:20" x14ac:dyDescent="0.45">
      <c r="A64" s="9" t="s">
        <v>19</v>
      </c>
      <c r="B64" s="9" t="s">
        <v>215</v>
      </c>
      <c r="C64" s="9" t="s">
        <v>216</v>
      </c>
      <c r="D64" s="9" t="s">
        <v>221</v>
      </c>
      <c r="E64" s="9" t="s">
        <v>218</v>
      </c>
      <c r="F64" s="9" t="s">
        <v>222</v>
      </c>
      <c r="G64" s="9" t="s">
        <v>222</v>
      </c>
      <c r="H64" s="9" t="s">
        <v>129</v>
      </c>
      <c r="I64" s="9" t="s">
        <v>220</v>
      </c>
      <c r="J64" s="9" t="s">
        <v>216</v>
      </c>
      <c r="K64" s="9" t="s">
        <v>27</v>
      </c>
      <c r="L64" s="9" t="e">
        <f>VLOOKUP(J64,#REF!,2,FALSE)</f>
        <v>#REF!</v>
      </c>
      <c r="M64" s="9"/>
      <c r="N64" s="11" t="s">
        <v>28</v>
      </c>
      <c r="O64" s="15"/>
      <c r="P64" s="13" t="s">
        <v>29</v>
      </c>
      <c r="Q64" s="13" t="s">
        <v>28</v>
      </c>
      <c r="R64" s="14">
        <v>436068500</v>
      </c>
      <c r="S64" s="14" t="e">
        <f>VLOOKUP(I64,#REF!,2,FALSE)</f>
        <v>#REF!</v>
      </c>
      <c r="T64" s="14" t="e">
        <f t="shared" si="0"/>
        <v>#REF!</v>
      </c>
    </row>
    <row r="65" spans="1:20" x14ac:dyDescent="0.45">
      <c r="A65" s="9" t="s">
        <v>19</v>
      </c>
      <c r="B65" s="9" t="s">
        <v>215</v>
      </c>
      <c r="C65" s="9" t="s">
        <v>216</v>
      </c>
      <c r="D65" s="9" t="s">
        <v>223</v>
      </c>
      <c r="E65" s="9" t="s">
        <v>218</v>
      </c>
      <c r="F65" s="9" t="s">
        <v>224</v>
      </c>
      <c r="G65" s="9" t="s">
        <v>224</v>
      </c>
      <c r="H65" s="9" t="s">
        <v>129</v>
      </c>
      <c r="I65" s="9" t="s">
        <v>220</v>
      </c>
      <c r="J65" s="9" t="s">
        <v>216</v>
      </c>
      <c r="K65" s="9" t="s">
        <v>27</v>
      </c>
      <c r="L65" s="9" t="e">
        <f>VLOOKUP(J65,#REF!,2,FALSE)</f>
        <v>#REF!</v>
      </c>
      <c r="M65" s="9"/>
      <c r="N65" s="11" t="s">
        <v>28</v>
      </c>
      <c r="O65" s="15"/>
      <c r="P65" s="13" t="s">
        <v>29</v>
      </c>
      <c r="Q65" s="13" t="s">
        <v>28</v>
      </c>
      <c r="R65" s="14">
        <v>1392393275</v>
      </c>
      <c r="S65" s="14" t="e">
        <f>VLOOKUP(I65,#REF!,2,FALSE)</f>
        <v>#REF!</v>
      </c>
      <c r="T65" s="14" t="e">
        <f t="shared" si="0"/>
        <v>#REF!</v>
      </c>
    </row>
    <row r="66" spans="1:20" x14ac:dyDescent="0.45">
      <c r="A66" s="9" t="s">
        <v>19</v>
      </c>
      <c r="B66" s="9" t="s">
        <v>215</v>
      </c>
      <c r="C66" s="9" t="s">
        <v>216</v>
      </c>
      <c r="D66" s="9" t="s">
        <v>223</v>
      </c>
      <c r="E66" s="9" t="s">
        <v>218</v>
      </c>
      <c r="F66" s="9" t="s">
        <v>225</v>
      </c>
      <c r="G66" s="9" t="s">
        <v>225</v>
      </c>
      <c r="H66" s="9" t="s">
        <v>25</v>
      </c>
      <c r="I66" s="9" t="s">
        <v>220</v>
      </c>
      <c r="J66" s="9" t="s">
        <v>216</v>
      </c>
      <c r="K66" s="9" t="s">
        <v>27</v>
      </c>
      <c r="L66" s="9" t="e">
        <f>VLOOKUP(J66,#REF!,2,FALSE)</f>
        <v>#REF!</v>
      </c>
      <c r="M66" s="9"/>
      <c r="N66" s="11" t="s">
        <v>28</v>
      </c>
      <c r="O66" s="12"/>
      <c r="P66" s="13" t="s">
        <v>29</v>
      </c>
      <c r="Q66" s="13" t="s">
        <v>28</v>
      </c>
      <c r="R66" s="14">
        <v>3590896</v>
      </c>
      <c r="S66" s="14" t="e">
        <f>VLOOKUP(I66,#REF!,2,FALSE)</f>
        <v>#REF!</v>
      </c>
      <c r="T66" s="14" t="e">
        <f t="shared" si="0"/>
        <v>#REF!</v>
      </c>
    </row>
    <row r="67" spans="1:20" x14ac:dyDescent="0.45">
      <c r="A67" s="9" t="s">
        <v>19</v>
      </c>
      <c r="B67" s="9" t="s">
        <v>215</v>
      </c>
      <c r="C67" s="9" t="s">
        <v>216</v>
      </c>
      <c r="D67" s="9" t="s">
        <v>226</v>
      </c>
      <c r="E67" s="9" t="s">
        <v>227</v>
      </c>
      <c r="F67" s="9" t="s">
        <v>228</v>
      </c>
      <c r="G67" s="9">
        <v>55605694</v>
      </c>
      <c r="H67" s="9" t="s">
        <v>55</v>
      </c>
      <c r="I67" s="9" t="s">
        <v>220</v>
      </c>
      <c r="J67" s="9" t="s">
        <v>216</v>
      </c>
      <c r="K67" s="9" t="s">
        <v>27</v>
      </c>
      <c r="L67" s="9" t="e">
        <f>VLOOKUP(J67,#REF!,2,FALSE)</f>
        <v>#REF!</v>
      </c>
      <c r="M67" s="9"/>
      <c r="N67" s="11" t="s">
        <v>28</v>
      </c>
      <c r="O67" s="12"/>
      <c r="P67" s="13" t="s">
        <v>29</v>
      </c>
      <c r="Q67" s="13" t="s">
        <v>28</v>
      </c>
      <c r="R67" s="14">
        <v>25152065.289999999</v>
      </c>
      <c r="S67" s="14" t="e">
        <f>VLOOKUP(I67,#REF!,2,FALSE)</f>
        <v>#REF!</v>
      </c>
      <c r="T67" s="14" t="e">
        <f t="shared" ref="T67:T130" si="1">R67/S67</f>
        <v>#REF!</v>
      </c>
    </row>
    <row r="68" spans="1:20" x14ac:dyDescent="0.45">
      <c r="A68" s="9" t="s">
        <v>19</v>
      </c>
      <c r="B68" s="9" t="s">
        <v>229</v>
      </c>
      <c r="C68" s="9" t="s">
        <v>230</v>
      </c>
      <c r="D68" s="9" t="s">
        <v>62</v>
      </c>
      <c r="E68" s="9" t="s">
        <v>231</v>
      </c>
      <c r="F68" s="9" t="s">
        <v>232</v>
      </c>
      <c r="G68" s="9">
        <v>30955684</v>
      </c>
      <c r="H68" s="9" t="s">
        <v>25</v>
      </c>
      <c r="I68" s="9" t="s">
        <v>32</v>
      </c>
      <c r="J68" s="9" t="s">
        <v>65</v>
      </c>
      <c r="K68" s="9" t="s">
        <v>60</v>
      </c>
      <c r="L68" s="9" t="e">
        <f>VLOOKUP(J68,#REF!,2,FALSE)</f>
        <v>#REF!</v>
      </c>
      <c r="M68" s="11" t="s">
        <v>61</v>
      </c>
      <c r="N68" s="12" t="s">
        <v>28</v>
      </c>
      <c r="O68" s="12" t="s">
        <v>29</v>
      </c>
      <c r="P68" s="13" t="s">
        <v>29</v>
      </c>
      <c r="Q68" s="13" t="s">
        <v>29</v>
      </c>
      <c r="R68" s="14">
        <v>1220.98</v>
      </c>
      <c r="S68" s="14" t="e">
        <f>VLOOKUP(I68,#REF!,2,FALSE)</f>
        <v>#REF!</v>
      </c>
      <c r="T68" s="14" t="e">
        <f t="shared" si="1"/>
        <v>#REF!</v>
      </c>
    </row>
    <row r="69" spans="1:20" x14ac:dyDescent="0.45">
      <c r="A69" s="9" t="s">
        <v>19</v>
      </c>
      <c r="B69" s="9" t="s">
        <v>233</v>
      </c>
      <c r="C69" s="9" t="s">
        <v>113</v>
      </c>
      <c r="D69" s="9" t="s">
        <v>234</v>
      </c>
      <c r="E69" s="9" t="s">
        <v>235</v>
      </c>
      <c r="F69" s="9" t="s">
        <v>236</v>
      </c>
      <c r="G69" s="9">
        <v>201313457</v>
      </c>
      <c r="H69" s="9" t="s">
        <v>237</v>
      </c>
      <c r="I69" s="9" t="s">
        <v>112</v>
      </c>
      <c r="J69" s="9" t="s">
        <v>113</v>
      </c>
      <c r="K69" s="9" t="s">
        <v>27</v>
      </c>
      <c r="L69" s="9" t="e">
        <f>VLOOKUP(J69,#REF!,2,FALSE)</f>
        <v>#REF!</v>
      </c>
      <c r="M69" s="9"/>
      <c r="N69" s="11" t="s">
        <v>28</v>
      </c>
      <c r="O69" s="15"/>
      <c r="P69" s="13" t="s">
        <v>29</v>
      </c>
      <c r="Q69" s="13" t="s">
        <v>28</v>
      </c>
      <c r="R69" s="14">
        <v>1056.24</v>
      </c>
      <c r="S69" s="14" t="e">
        <f>VLOOKUP(I69,#REF!,2,FALSE)</f>
        <v>#REF!</v>
      </c>
      <c r="T69" s="14" t="e">
        <f t="shared" si="1"/>
        <v>#REF!</v>
      </c>
    </row>
    <row r="70" spans="1:20" x14ac:dyDescent="0.45">
      <c r="A70" s="9" t="s">
        <v>19</v>
      </c>
      <c r="B70" s="9" t="s">
        <v>233</v>
      </c>
      <c r="C70" s="9" t="s">
        <v>113</v>
      </c>
      <c r="D70" s="9" t="s">
        <v>234</v>
      </c>
      <c r="E70" s="9" t="s">
        <v>238</v>
      </c>
      <c r="F70" s="9" t="s">
        <v>239</v>
      </c>
      <c r="G70" s="9">
        <v>201313007</v>
      </c>
      <c r="H70" s="9" t="s">
        <v>129</v>
      </c>
      <c r="I70" s="9" t="s">
        <v>112</v>
      </c>
      <c r="J70" s="9" t="s">
        <v>113</v>
      </c>
      <c r="K70" s="9" t="s">
        <v>27</v>
      </c>
      <c r="L70" s="9" t="e">
        <f>VLOOKUP(J70,#REF!,2,FALSE)</f>
        <v>#REF!</v>
      </c>
      <c r="M70" s="9"/>
      <c r="N70" s="11" t="s">
        <v>28</v>
      </c>
      <c r="P70" s="13" t="s">
        <v>29</v>
      </c>
      <c r="Q70" s="13" t="s">
        <v>28</v>
      </c>
      <c r="R70" s="14">
        <v>22278279.18</v>
      </c>
      <c r="S70" s="14" t="e">
        <f>VLOOKUP(I70,#REF!,2,FALSE)</f>
        <v>#REF!</v>
      </c>
      <c r="T70" s="14" t="e">
        <f t="shared" si="1"/>
        <v>#REF!</v>
      </c>
    </row>
    <row r="71" spans="1:20" x14ac:dyDescent="0.45">
      <c r="A71" s="9" t="s">
        <v>19</v>
      </c>
      <c r="B71" s="9" t="s">
        <v>233</v>
      </c>
      <c r="C71" s="9" t="s">
        <v>113</v>
      </c>
      <c r="D71" s="9" t="s">
        <v>109</v>
      </c>
      <c r="E71" s="9" t="s">
        <v>240</v>
      </c>
      <c r="F71" s="9" t="s">
        <v>241</v>
      </c>
      <c r="G71" s="9">
        <v>62044701953</v>
      </c>
      <c r="H71" s="9" t="s">
        <v>25</v>
      </c>
      <c r="I71" s="9" t="s">
        <v>112</v>
      </c>
      <c r="J71" s="9" t="s">
        <v>113</v>
      </c>
      <c r="K71" s="9" t="s">
        <v>27</v>
      </c>
      <c r="L71" s="9" t="e">
        <f>VLOOKUP(J71,#REF!,2,FALSE)</f>
        <v>#REF!</v>
      </c>
      <c r="N71" s="11" t="s">
        <v>28</v>
      </c>
      <c r="P71" s="13" t="s">
        <v>29</v>
      </c>
      <c r="Q71" s="13" t="s">
        <v>28</v>
      </c>
      <c r="R71" s="14">
        <v>532658.61</v>
      </c>
      <c r="S71" s="14" t="e">
        <f>VLOOKUP(I71,#REF!,2,FALSE)</f>
        <v>#REF!</v>
      </c>
      <c r="T71" s="14" t="e">
        <f t="shared" si="1"/>
        <v>#REF!</v>
      </c>
    </row>
    <row r="72" spans="1:20" x14ac:dyDescent="0.45">
      <c r="A72" s="9" t="s">
        <v>19</v>
      </c>
      <c r="B72" s="9" t="s">
        <v>242</v>
      </c>
      <c r="C72" s="9" t="s">
        <v>243</v>
      </c>
      <c r="D72" s="9" t="s">
        <v>244</v>
      </c>
      <c r="E72" s="9" t="s">
        <v>245</v>
      </c>
      <c r="F72" s="9" t="s">
        <v>246</v>
      </c>
      <c r="G72" s="9">
        <v>4010550556</v>
      </c>
      <c r="H72" s="9" t="s">
        <v>129</v>
      </c>
      <c r="I72" s="9" t="s">
        <v>247</v>
      </c>
      <c r="J72" s="9" t="s">
        <v>243</v>
      </c>
      <c r="K72" s="9" t="s">
        <v>27</v>
      </c>
      <c r="L72" s="9" t="e">
        <f>VLOOKUP(J72,#REF!,2,FALSE)</f>
        <v>#REF!</v>
      </c>
      <c r="N72" s="11" t="s">
        <v>28</v>
      </c>
      <c r="P72" s="13" t="s">
        <v>29</v>
      </c>
      <c r="Q72" s="13" t="s">
        <v>28</v>
      </c>
      <c r="R72" s="14">
        <v>121518130</v>
      </c>
      <c r="S72" s="14" t="e">
        <f>VLOOKUP(I72,#REF!,2,FALSE)</f>
        <v>#REF!</v>
      </c>
      <c r="T72" s="14" t="e">
        <f t="shared" si="1"/>
        <v>#REF!</v>
      </c>
    </row>
    <row r="73" spans="1:20" x14ac:dyDescent="0.45">
      <c r="A73" s="9" t="s">
        <v>19</v>
      </c>
      <c r="B73" s="9" t="s">
        <v>242</v>
      </c>
      <c r="C73" s="9" t="s">
        <v>243</v>
      </c>
      <c r="D73" s="9" t="s">
        <v>248</v>
      </c>
      <c r="E73" s="9" t="s">
        <v>249</v>
      </c>
      <c r="F73" s="9" t="s">
        <v>250</v>
      </c>
      <c r="G73" s="9">
        <v>1010011710</v>
      </c>
      <c r="H73" s="9" t="s">
        <v>129</v>
      </c>
      <c r="I73" s="9" t="s">
        <v>247</v>
      </c>
      <c r="J73" s="9" t="s">
        <v>243</v>
      </c>
      <c r="K73" s="9" t="s">
        <v>27</v>
      </c>
      <c r="L73" s="9" t="e">
        <f>VLOOKUP(J73,#REF!,2,FALSE)</f>
        <v>#REF!</v>
      </c>
      <c r="N73" s="11" t="s">
        <v>28</v>
      </c>
      <c r="P73" s="13" t="s">
        <v>29</v>
      </c>
      <c r="Q73" s="13" t="s">
        <v>28</v>
      </c>
      <c r="R73" s="14">
        <v>17865869</v>
      </c>
      <c r="S73" s="14" t="e">
        <f>VLOOKUP(I73,#REF!,2,FALSE)</f>
        <v>#REF!</v>
      </c>
      <c r="T73" s="14" t="e">
        <f t="shared" si="1"/>
        <v>#REF!</v>
      </c>
    </row>
    <row r="74" spans="1:20" x14ac:dyDescent="0.45">
      <c r="A74" s="9" t="s">
        <v>19</v>
      </c>
      <c r="B74" s="9" t="s">
        <v>242</v>
      </c>
      <c r="C74" s="9" t="s">
        <v>243</v>
      </c>
      <c r="D74" s="9" t="s">
        <v>251</v>
      </c>
      <c r="E74" s="9" t="s">
        <v>252</v>
      </c>
      <c r="F74" s="9" t="s">
        <v>253</v>
      </c>
      <c r="G74" s="9">
        <v>1987895</v>
      </c>
      <c r="H74" s="9" t="s">
        <v>25</v>
      </c>
      <c r="I74" s="9" t="s">
        <v>247</v>
      </c>
      <c r="J74" s="9" t="s">
        <v>243</v>
      </c>
      <c r="K74" s="9" t="s">
        <v>27</v>
      </c>
      <c r="L74" s="9" t="e">
        <f>VLOOKUP(J74,#REF!,2,FALSE)</f>
        <v>#REF!</v>
      </c>
      <c r="N74" s="11" t="s">
        <v>28</v>
      </c>
      <c r="P74" s="13" t="s">
        <v>29</v>
      </c>
      <c r="Q74" s="13" t="s">
        <v>28</v>
      </c>
      <c r="R74" s="14">
        <v>131843474</v>
      </c>
      <c r="S74" s="14" t="e">
        <f>VLOOKUP(I74,#REF!,2,FALSE)</f>
        <v>#REF!</v>
      </c>
      <c r="T74" s="14" t="e">
        <f t="shared" si="1"/>
        <v>#REF!</v>
      </c>
    </row>
    <row r="75" spans="1:20" x14ac:dyDescent="0.45">
      <c r="A75" s="9" t="s">
        <v>19</v>
      </c>
      <c r="B75" s="9" t="s">
        <v>242</v>
      </c>
      <c r="C75" s="9" t="s">
        <v>243</v>
      </c>
      <c r="D75" s="9" t="s">
        <v>251</v>
      </c>
      <c r="E75" s="9" t="s">
        <v>254</v>
      </c>
      <c r="F75" s="9" t="s">
        <v>255</v>
      </c>
      <c r="G75" s="9">
        <v>728818905</v>
      </c>
      <c r="H75" s="9" t="s">
        <v>25</v>
      </c>
      <c r="I75" s="9" t="s">
        <v>247</v>
      </c>
      <c r="J75" s="9" t="s">
        <v>243</v>
      </c>
      <c r="K75" s="9" t="s">
        <v>27</v>
      </c>
      <c r="L75" s="9" t="e">
        <f>VLOOKUP(J75,#REF!,2,FALSE)</f>
        <v>#REF!</v>
      </c>
      <c r="N75" s="11" t="s">
        <v>28</v>
      </c>
      <c r="P75" s="13" t="s">
        <v>29</v>
      </c>
      <c r="Q75" s="13" t="s">
        <v>28</v>
      </c>
      <c r="R75" s="14">
        <v>601232395</v>
      </c>
      <c r="S75" s="14" t="e">
        <f>VLOOKUP(I75,#REF!,2,FALSE)</f>
        <v>#REF!</v>
      </c>
      <c r="T75" s="14" t="e">
        <f t="shared" si="1"/>
        <v>#REF!</v>
      </c>
    </row>
    <row r="76" spans="1:20" x14ac:dyDescent="0.45">
      <c r="A76" s="9" t="s">
        <v>19</v>
      </c>
      <c r="B76" s="9" t="s">
        <v>242</v>
      </c>
      <c r="C76" s="9" t="s">
        <v>243</v>
      </c>
      <c r="D76" s="9" t="s">
        <v>251</v>
      </c>
      <c r="E76" s="9" t="s">
        <v>256</v>
      </c>
      <c r="F76" s="9" t="s">
        <v>257</v>
      </c>
      <c r="G76" s="9">
        <v>1952285</v>
      </c>
      <c r="H76" s="9" t="s">
        <v>25</v>
      </c>
      <c r="I76" s="9" t="s">
        <v>32</v>
      </c>
      <c r="J76" s="9" t="s">
        <v>243</v>
      </c>
      <c r="K76" s="9" t="s">
        <v>27</v>
      </c>
      <c r="L76" s="9" t="e">
        <f>VLOOKUP(J76,#REF!,2,FALSE)</f>
        <v>#REF!</v>
      </c>
      <c r="N76" s="11" t="s">
        <v>28</v>
      </c>
      <c r="P76" s="13" t="s">
        <v>29</v>
      </c>
      <c r="Q76" s="13" t="s">
        <v>28</v>
      </c>
      <c r="R76" s="14">
        <v>1040601</v>
      </c>
      <c r="S76" s="14" t="e">
        <f>VLOOKUP(I76,#REF!,2,FALSE)</f>
        <v>#REF!</v>
      </c>
      <c r="T76" s="14" t="e">
        <f t="shared" si="1"/>
        <v>#REF!</v>
      </c>
    </row>
    <row r="77" spans="1:20" x14ac:dyDescent="0.45">
      <c r="A77" s="9" t="s">
        <v>19</v>
      </c>
      <c r="B77" s="9" t="s">
        <v>242</v>
      </c>
      <c r="C77" s="9" t="s">
        <v>243</v>
      </c>
      <c r="D77" s="9" t="s">
        <v>258</v>
      </c>
      <c r="E77" s="9" t="s">
        <v>259</v>
      </c>
      <c r="F77" s="9" t="s">
        <v>260</v>
      </c>
      <c r="G77" s="9">
        <v>131297011</v>
      </c>
      <c r="H77" s="9" t="s">
        <v>25</v>
      </c>
      <c r="I77" s="9" t="s">
        <v>247</v>
      </c>
      <c r="J77" s="9" t="s">
        <v>243</v>
      </c>
      <c r="K77" s="9" t="s">
        <v>27</v>
      </c>
      <c r="L77" s="9" t="e">
        <f>VLOOKUP(J77,#REF!,2,FALSE)</f>
        <v>#REF!</v>
      </c>
      <c r="N77" s="11" t="s">
        <v>28</v>
      </c>
      <c r="P77" s="13" t="s">
        <v>29</v>
      </c>
      <c r="Q77" s="13" t="s">
        <v>28</v>
      </c>
      <c r="R77" s="14">
        <v>291246851</v>
      </c>
      <c r="S77" s="14" t="e">
        <f>VLOOKUP(I77,#REF!,2,FALSE)</f>
        <v>#REF!</v>
      </c>
      <c r="T77" s="14" t="e">
        <f t="shared" si="1"/>
        <v>#REF!</v>
      </c>
    </row>
    <row r="78" spans="1:20" x14ac:dyDescent="0.45">
      <c r="A78" s="9" t="s">
        <v>19</v>
      </c>
      <c r="B78" s="9" t="s">
        <v>242</v>
      </c>
      <c r="C78" s="9" t="s">
        <v>243</v>
      </c>
      <c r="D78" s="9" t="s">
        <v>258</v>
      </c>
      <c r="E78" s="9" t="s">
        <v>261</v>
      </c>
      <c r="F78" s="9" t="s">
        <v>262</v>
      </c>
      <c r="G78" s="9">
        <v>131297121</v>
      </c>
      <c r="H78" s="9" t="s">
        <v>25</v>
      </c>
      <c r="I78" s="9" t="s">
        <v>32</v>
      </c>
      <c r="J78" s="9" t="s">
        <v>243</v>
      </c>
      <c r="K78" s="9" t="s">
        <v>27</v>
      </c>
      <c r="L78" s="9" t="e">
        <f>VLOOKUP(J78,#REF!,2,FALSE)</f>
        <v>#REF!</v>
      </c>
      <c r="N78" s="11" t="s">
        <v>28</v>
      </c>
      <c r="P78" s="13" t="s">
        <v>29</v>
      </c>
      <c r="Q78" s="13" t="s">
        <v>28</v>
      </c>
      <c r="R78" s="14">
        <v>64</v>
      </c>
      <c r="S78" s="14" t="e">
        <f>VLOOKUP(I78,#REF!,2,FALSE)</f>
        <v>#REF!</v>
      </c>
      <c r="T78" s="14" t="e">
        <f t="shared" si="1"/>
        <v>#REF!</v>
      </c>
    </row>
    <row r="79" spans="1:20" x14ac:dyDescent="0.45">
      <c r="A79" s="9" t="s">
        <v>19</v>
      </c>
      <c r="B79" s="9" t="s">
        <v>242</v>
      </c>
      <c r="C79" s="9" t="s">
        <v>243</v>
      </c>
      <c r="D79" s="9" t="s">
        <v>244</v>
      </c>
      <c r="E79" s="9" t="s">
        <v>263</v>
      </c>
      <c r="F79" s="9" t="s">
        <v>264</v>
      </c>
      <c r="G79" s="9">
        <v>5090314285</v>
      </c>
      <c r="H79" s="9" t="s">
        <v>25</v>
      </c>
      <c r="I79" s="9" t="s">
        <v>32</v>
      </c>
      <c r="J79" s="9" t="s">
        <v>243</v>
      </c>
      <c r="K79" s="9" t="s">
        <v>27</v>
      </c>
      <c r="L79" s="9" t="e">
        <f>VLOOKUP(J79,#REF!,2,FALSE)</f>
        <v>#REF!</v>
      </c>
      <c r="N79" s="11" t="s">
        <v>28</v>
      </c>
      <c r="P79" s="13" t="s">
        <v>29</v>
      </c>
      <c r="Q79" s="13" t="s">
        <v>28</v>
      </c>
      <c r="R79" s="14">
        <v>1081415</v>
      </c>
      <c r="S79" s="14" t="e">
        <f>VLOOKUP(I79,#REF!,2,FALSE)</f>
        <v>#REF!</v>
      </c>
      <c r="T79" s="14" t="e">
        <f t="shared" si="1"/>
        <v>#REF!</v>
      </c>
    </row>
    <row r="80" spans="1:20" x14ac:dyDescent="0.45">
      <c r="A80" s="9" t="s">
        <v>19</v>
      </c>
      <c r="B80" s="9" t="s">
        <v>242</v>
      </c>
      <c r="C80" s="9" t="s">
        <v>243</v>
      </c>
      <c r="D80" s="9" t="s">
        <v>265</v>
      </c>
      <c r="E80" s="9" t="s">
        <v>266</v>
      </c>
      <c r="F80" s="9" t="s">
        <v>267</v>
      </c>
      <c r="G80" s="9">
        <v>2003979884</v>
      </c>
      <c r="H80" s="9" t="s">
        <v>25</v>
      </c>
      <c r="I80" s="9" t="s">
        <v>247</v>
      </c>
      <c r="J80" s="9" t="s">
        <v>243</v>
      </c>
      <c r="K80" s="9" t="s">
        <v>27</v>
      </c>
      <c r="L80" s="9" t="e">
        <f>VLOOKUP(J80,#REF!,2,FALSE)</f>
        <v>#REF!</v>
      </c>
      <c r="N80" s="11" t="s">
        <v>28</v>
      </c>
      <c r="P80" s="13" t="s">
        <v>29</v>
      </c>
      <c r="Q80" s="13" t="s">
        <v>28</v>
      </c>
      <c r="R80" s="14">
        <v>284814020</v>
      </c>
      <c r="S80" s="14" t="e">
        <f>VLOOKUP(I80,#REF!,2,FALSE)</f>
        <v>#REF!</v>
      </c>
      <c r="T80" s="14" t="e">
        <f t="shared" si="1"/>
        <v>#REF!</v>
      </c>
    </row>
    <row r="81" spans="1:20" x14ac:dyDescent="0.45">
      <c r="A81" s="9" t="s">
        <v>19</v>
      </c>
      <c r="B81" s="9" t="s">
        <v>242</v>
      </c>
      <c r="C81" s="9" t="s">
        <v>243</v>
      </c>
      <c r="D81" s="9" t="s">
        <v>268</v>
      </c>
      <c r="E81" s="9" t="s">
        <v>269</v>
      </c>
      <c r="F81" s="9" t="s">
        <v>270</v>
      </c>
      <c r="G81" s="9">
        <v>47151474</v>
      </c>
      <c r="H81" s="9" t="s">
        <v>25</v>
      </c>
      <c r="I81" s="9" t="s">
        <v>247</v>
      </c>
      <c r="J81" s="9" t="s">
        <v>243</v>
      </c>
      <c r="K81" s="9" t="s">
        <v>27</v>
      </c>
      <c r="L81" s="9" t="e">
        <f>VLOOKUP(J81,#REF!,2,FALSE)</f>
        <v>#REF!</v>
      </c>
      <c r="N81" s="11" t="s">
        <v>28</v>
      </c>
      <c r="P81" s="13" t="s">
        <v>29</v>
      </c>
      <c r="Q81" s="13" t="s">
        <v>28</v>
      </c>
      <c r="R81" s="14">
        <v>47281037</v>
      </c>
      <c r="S81" s="14" t="e">
        <f>VLOOKUP(I81,#REF!,2,FALSE)</f>
        <v>#REF!</v>
      </c>
      <c r="T81" s="14" t="e">
        <f t="shared" si="1"/>
        <v>#REF!</v>
      </c>
    </row>
    <row r="82" spans="1:20" x14ac:dyDescent="0.45">
      <c r="A82" s="9" t="s">
        <v>19</v>
      </c>
      <c r="B82" s="9" t="s">
        <v>242</v>
      </c>
      <c r="C82" s="9" t="s">
        <v>243</v>
      </c>
      <c r="D82" s="9" t="s">
        <v>268</v>
      </c>
      <c r="E82" s="9" t="s">
        <v>271</v>
      </c>
      <c r="F82" s="9" t="s">
        <v>272</v>
      </c>
      <c r="G82" s="9">
        <v>4182772</v>
      </c>
      <c r="H82" s="9" t="s">
        <v>25</v>
      </c>
      <c r="I82" s="9" t="s">
        <v>32</v>
      </c>
      <c r="J82" s="9" t="s">
        <v>243</v>
      </c>
      <c r="K82" s="9" t="s">
        <v>27</v>
      </c>
      <c r="L82" s="9" t="e">
        <f>VLOOKUP(J82,#REF!,2,FALSE)</f>
        <v>#REF!</v>
      </c>
      <c r="N82" s="11" t="s">
        <v>28</v>
      </c>
      <c r="P82" s="13" t="s">
        <v>29</v>
      </c>
      <c r="Q82" s="13" t="s">
        <v>28</v>
      </c>
      <c r="R82" s="14">
        <v>149</v>
      </c>
      <c r="S82" s="14" t="e">
        <f>VLOOKUP(I82,#REF!,2,FALSE)</f>
        <v>#REF!</v>
      </c>
      <c r="T82" s="14" t="e">
        <f t="shared" si="1"/>
        <v>#REF!</v>
      </c>
    </row>
    <row r="83" spans="1:20" x14ac:dyDescent="0.45">
      <c r="A83" s="9" t="s">
        <v>19</v>
      </c>
      <c r="B83" s="9" t="s">
        <v>242</v>
      </c>
      <c r="C83" s="9" t="s">
        <v>243</v>
      </c>
      <c r="D83" s="9" t="s">
        <v>273</v>
      </c>
      <c r="E83" s="9" t="s">
        <v>274</v>
      </c>
      <c r="F83" s="9" t="s">
        <v>275</v>
      </c>
      <c r="G83" s="9">
        <v>21142986</v>
      </c>
      <c r="H83" s="9" t="s">
        <v>25</v>
      </c>
      <c r="I83" s="9" t="s">
        <v>247</v>
      </c>
      <c r="J83" s="9" t="s">
        <v>243</v>
      </c>
      <c r="K83" s="9" t="s">
        <v>27</v>
      </c>
      <c r="L83" s="9" t="e">
        <f>VLOOKUP(J83,#REF!,2,FALSE)</f>
        <v>#REF!</v>
      </c>
      <c r="N83" s="11" t="s">
        <v>28</v>
      </c>
      <c r="P83" s="13" t="s">
        <v>29</v>
      </c>
      <c r="Q83" s="13" t="s">
        <v>28</v>
      </c>
      <c r="R83" s="14">
        <v>62632165</v>
      </c>
      <c r="S83" s="14" t="e">
        <f>VLOOKUP(I83,#REF!,2,FALSE)</f>
        <v>#REF!</v>
      </c>
      <c r="T83" s="14" t="e">
        <f t="shared" si="1"/>
        <v>#REF!</v>
      </c>
    </row>
    <row r="84" spans="1:20" x14ac:dyDescent="0.45">
      <c r="A84" s="9" t="s">
        <v>19</v>
      </c>
      <c r="B84" s="9" t="s">
        <v>242</v>
      </c>
      <c r="C84" s="9" t="s">
        <v>243</v>
      </c>
      <c r="D84" s="9" t="s">
        <v>273</v>
      </c>
      <c r="E84" s="9" t="s">
        <v>276</v>
      </c>
      <c r="F84" s="9" t="s">
        <v>277</v>
      </c>
      <c r="G84" s="9">
        <v>21143000</v>
      </c>
      <c r="H84" s="9" t="s">
        <v>25</v>
      </c>
      <c r="I84" s="9" t="s">
        <v>32</v>
      </c>
      <c r="J84" s="9" t="s">
        <v>243</v>
      </c>
      <c r="K84" s="9" t="s">
        <v>27</v>
      </c>
      <c r="L84" s="9" t="e">
        <f>VLOOKUP(J84,#REF!,2,FALSE)</f>
        <v>#REF!</v>
      </c>
      <c r="N84" s="11" t="s">
        <v>28</v>
      </c>
      <c r="P84" s="13" t="s">
        <v>29</v>
      </c>
      <c r="Q84" s="13" t="s">
        <v>28</v>
      </c>
      <c r="R84" s="14">
        <v>639</v>
      </c>
      <c r="S84" s="14" t="e">
        <f>VLOOKUP(I84,#REF!,2,FALSE)</f>
        <v>#REF!</v>
      </c>
      <c r="T84" s="14" t="e">
        <f t="shared" si="1"/>
        <v>#REF!</v>
      </c>
    </row>
    <row r="85" spans="1:20" x14ac:dyDescent="0.45">
      <c r="A85" s="9" t="s">
        <v>19</v>
      </c>
      <c r="B85" s="9" t="s">
        <v>242</v>
      </c>
      <c r="C85" s="9" t="s">
        <v>243</v>
      </c>
      <c r="D85" s="9" t="s">
        <v>278</v>
      </c>
      <c r="E85" s="9" t="s">
        <v>279</v>
      </c>
      <c r="F85" s="9" t="s">
        <v>280</v>
      </c>
      <c r="G85" s="9">
        <v>1000016707</v>
      </c>
      <c r="H85" s="9" t="s">
        <v>25</v>
      </c>
      <c r="I85" s="9" t="s">
        <v>247</v>
      </c>
      <c r="J85" s="9" t="s">
        <v>243</v>
      </c>
      <c r="K85" s="9" t="s">
        <v>27</v>
      </c>
      <c r="L85" s="9" t="e">
        <f>VLOOKUP(J85,#REF!,2,FALSE)</f>
        <v>#REF!</v>
      </c>
      <c r="N85" s="11" t="s">
        <v>28</v>
      </c>
      <c r="P85" s="13" t="s">
        <v>29</v>
      </c>
      <c r="Q85" s="13" t="s">
        <v>28</v>
      </c>
      <c r="R85" s="14">
        <v>255578053</v>
      </c>
      <c r="S85" s="14" t="e">
        <f>VLOOKUP(I85,#REF!,2,FALSE)</f>
        <v>#REF!</v>
      </c>
      <c r="T85" s="14" t="e">
        <f t="shared" si="1"/>
        <v>#REF!</v>
      </c>
    </row>
    <row r="86" spans="1:20" x14ac:dyDescent="0.45">
      <c r="A86" s="9" t="s">
        <v>19</v>
      </c>
      <c r="B86" s="9" t="s">
        <v>242</v>
      </c>
      <c r="C86" s="9" t="s">
        <v>243</v>
      </c>
      <c r="D86" s="9" t="s">
        <v>278</v>
      </c>
      <c r="E86" s="9" t="s">
        <v>281</v>
      </c>
      <c r="F86" s="9" t="s">
        <v>282</v>
      </c>
      <c r="G86" s="9">
        <v>3002045053</v>
      </c>
      <c r="H86" s="9" t="s">
        <v>25</v>
      </c>
      <c r="I86" s="9" t="s">
        <v>32</v>
      </c>
      <c r="J86" s="9" t="s">
        <v>243</v>
      </c>
      <c r="K86" s="9" t="s">
        <v>27</v>
      </c>
      <c r="L86" s="9" t="e">
        <f>VLOOKUP(J86,#REF!,2,FALSE)</f>
        <v>#REF!</v>
      </c>
      <c r="N86" s="11" t="s">
        <v>28</v>
      </c>
      <c r="P86" s="13" t="s">
        <v>29</v>
      </c>
      <c r="Q86" s="13" t="s">
        <v>28</v>
      </c>
      <c r="R86" s="14">
        <v>96927</v>
      </c>
      <c r="S86" s="14" t="e">
        <f>VLOOKUP(I86,#REF!,2,FALSE)</f>
        <v>#REF!</v>
      </c>
      <c r="T86" s="14" t="e">
        <f t="shared" si="1"/>
        <v>#REF!</v>
      </c>
    </row>
    <row r="87" spans="1:20" x14ac:dyDescent="0.45">
      <c r="A87" s="9" t="s">
        <v>19</v>
      </c>
      <c r="B87" s="9" t="s">
        <v>242</v>
      </c>
      <c r="C87" s="9" t="s">
        <v>243</v>
      </c>
      <c r="D87" s="9" t="s">
        <v>248</v>
      </c>
      <c r="E87" s="9" t="s">
        <v>283</v>
      </c>
      <c r="F87" s="9" t="s">
        <v>284</v>
      </c>
      <c r="G87" s="9">
        <v>1010753696</v>
      </c>
      <c r="H87" s="9" t="s">
        <v>25</v>
      </c>
      <c r="I87" s="9" t="s">
        <v>247</v>
      </c>
      <c r="J87" s="9" t="s">
        <v>243</v>
      </c>
      <c r="K87" s="9" t="s">
        <v>27</v>
      </c>
      <c r="L87" s="9" t="e">
        <f>VLOOKUP(J87,#REF!,2,FALSE)</f>
        <v>#REF!</v>
      </c>
      <c r="N87" s="11" t="s">
        <v>28</v>
      </c>
      <c r="P87" s="13" t="s">
        <v>29</v>
      </c>
      <c r="Q87" s="13" t="s">
        <v>28</v>
      </c>
      <c r="R87" s="14">
        <v>234276400</v>
      </c>
      <c r="S87" s="14" t="e">
        <f>VLOOKUP(I87,#REF!,2,FALSE)</f>
        <v>#REF!</v>
      </c>
      <c r="T87" s="14" t="e">
        <f t="shared" si="1"/>
        <v>#REF!</v>
      </c>
    </row>
    <row r="88" spans="1:20" x14ac:dyDescent="0.45">
      <c r="A88" s="9" t="s">
        <v>19</v>
      </c>
      <c r="B88" s="9" t="s">
        <v>242</v>
      </c>
      <c r="C88" s="9" t="s">
        <v>243</v>
      </c>
      <c r="D88" s="9" t="s">
        <v>248</v>
      </c>
      <c r="E88" s="9" t="s">
        <v>285</v>
      </c>
      <c r="F88" s="9" t="s">
        <v>286</v>
      </c>
      <c r="G88" s="9">
        <v>5070636724</v>
      </c>
      <c r="H88" s="9" t="s">
        <v>25</v>
      </c>
      <c r="I88" s="9" t="s">
        <v>32</v>
      </c>
      <c r="J88" s="9" t="s">
        <v>243</v>
      </c>
      <c r="K88" s="9" t="s">
        <v>27</v>
      </c>
      <c r="L88" s="9" t="e">
        <f>VLOOKUP(J88,#REF!,2,FALSE)</f>
        <v>#REF!</v>
      </c>
      <c r="N88" s="11" t="s">
        <v>28</v>
      </c>
      <c r="P88" s="13" t="s">
        <v>29</v>
      </c>
      <c r="Q88" s="13" t="s">
        <v>28</v>
      </c>
      <c r="R88" s="14">
        <v>2035947</v>
      </c>
      <c r="S88" s="14" t="e">
        <f>VLOOKUP(I88,#REF!,2,FALSE)</f>
        <v>#REF!</v>
      </c>
      <c r="T88" s="14" t="e">
        <f t="shared" si="1"/>
        <v>#REF!</v>
      </c>
    </row>
    <row r="89" spans="1:20" x14ac:dyDescent="0.45">
      <c r="A89" s="9" t="s">
        <v>19</v>
      </c>
      <c r="B89" s="9" t="s">
        <v>287</v>
      </c>
      <c r="C89" s="9" t="s">
        <v>288</v>
      </c>
      <c r="D89" s="9" t="s">
        <v>289</v>
      </c>
      <c r="E89" s="9" t="s">
        <v>290</v>
      </c>
      <c r="F89" s="9" t="s">
        <v>291</v>
      </c>
      <c r="G89" s="9">
        <v>5025578</v>
      </c>
      <c r="H89" s="9" t="s">
        <v>25</v>
      </c>
      <c r="I89" s="9" t="s">
        <v>32</v>
      </c>
      <c r="J89" s="9" t="s">
        <v>288</v>
      </c>
      <c r="K89" s="9" t="s">
        <v>60</v>
      </c>
      <c r="L89" s="9" t="e">
        <f>VLOOKUP(J89,#REF!,2,FALSE)</f>
        <v>#REF!</v>
      </c>
      <c r="M89" s="11" t="s">
        <v>61</v>
      </c>
      <c r="N89" s="12" t="s">
        <v>28</v>
      </c>
      <c r="O89" s="13" t="s">
        <v>29</v>
      </c>
      <c r="P89" s="13" t="s">
        <v>29</v>
      </c>
      <c r="Q89" s="13" t="s">
        <v>29</v>
      </c>
      <c r="R89" s="14">
        <v>1661224.71</v>
      </c>
      <c r="S89" s="14" t="e">
        <f>VLOOKUP(I89,#REF!,2,FALSE)</f>
        <v>#REF!</v>
      </c>
      <c r="T89" s="14" t="e">
        <f t="shared" si="1"/>
        <v>#REF!</v>
      </c>
    </row>
    <row r="90" spans="1:20" x14ac:dyDescent="0.45">
      <c r="A90" s="9" t="s">
        <v>19</v>
      </c>
      <c r="B90" s="9" t="s">
        <v>287</v>
      </c>
      <c r="C90" s="9" t="s">
        <v>288</v>
      </c>
      <c r="D90" s="9" t="s">
        <v>289</v>
      </c>
      <c r="E90" s="9" t="s">
        <v>292</v>
      </c>
      <c r="F90" s="9" t="s">
        <v>293</v>
      </c>
      <c r="G90" s="9">
        <v>106465</v>
      </c>
      <c r="H90" s="9" t="s">
        <v>25</v>
      </c>
      <c r="I90" s="9" t="s">
        <v>32</v>
      </c>
      <c r="J90" s="9" t="s">
        <v>288</v>
      </c>
      <c r="K90" s="9" t="s">
        <v>60</v>
      </c>
      <c r="L90" s="9" t="e">
        <f>VLOOKUP(J90,#REF!,2,FALSE)</f>
        <v>#REF!</v>
      </c>
      <c r="M90" s="11" t="s">
        <v>61</v>
      </c>
      <c r="N90" s="12" t="s">
        <v>28</v>
      </c>
      <c r="O90" s="13" t="s">
        <v>29</v>
      </c>
      <c r="P90" s="13" t="s">
        <v>29</v>
      </c>
      <c r="Q90" s="13" t="s">
        <v>29</v>
      </c>
      <c r="R90" s="14">
        <v>97.14</v>
      </c>
      <c r="S90" s="14" t="e">
        <f>VLOOKUP(I90,#REF!,2,FALSE)</f>
        <v>#REF!</v>
      </c>
      <c r="T90" s="14" t="e">
        <f t="shared" si="1"/>
        <v>#REF!</v>
      </c>
    </row>
    <row r="91" spans="1:20" x14ac:dyDescent="0.45">
      <c r="A91" s="9" t="s">
        <v>19</v>
      </c>
      <c r="B91" s="9" t="s">
        <v>287</v>
      </c>
      <c r="C91" s="9" t="s">
        <v>288</v>
      </c>
      <c r="D91" s="9" t="s">
        <v>294</v>
      </c>
      <c r="E91" s="9" t="s">
        <v>295</v>
      </c>
      <c r="F91" s="9" t="s">
        <v>296</v>
      </c>
      <c r="G91" s="9">
        <v>23310</v>
      </c>
      <c r="H91" s="9" t="s">
        <v>25</v>
      </c>
      <c r="I91" s="9" t="s">
        <v>32</v>
      </c>
      <c r="J91" s="9" t="s">
        <v>288</v>
      </c>
      <c r="K91" s="9" t="s">
        <v>60</v>
      </c>
      <c r="L91" s="9" t="e">
        <f>VLOOKUP(J91,#REF!,2,FALSE)</f>
        <v>#REF!</v>
      </c>
      <c r="M91" s="11" t="s">
        <v>61</v>
      </c>
      <c r="N91" s="12" t="s">
        <v>28</v>
      </c>
      <c r="O91" s="13" t="s">
        <v>29</v>
      </c>
      <c r="P91" s="13" t="s">
        <v>29</v>
      </c>
      <c r="Q91" s="13" t="s">
        <v>29</v>
      </c>
      <c r="R91" s="14">
        <v>301429.88</v>
      </c>
      <c r="S91" s="14" t="e">
        <f>VLOOKUP(I91,#REF!,2,FALSE)</f>
        <v>#REF!</v>
      </c>
      <c r="T91" s="14" t="e">
        <f t="shared" si="1"/>
        <v>#REF!</v>
      </c>
    </row>
    <row r="92" spans="1:20" x14ac:dyDescent="0.45">
      <c r="A92" s="9" t="s">
        <v>19</v>
      </c>
      <c r="B92" s="9" t="s">
        <v>287</v>
      </c>
      <c r="C92" s="9" t="s">
        <v>288</v>
      </c>
      <c r="D92" s="9" t="s">
        <v>297</v>
      </c>
      <c r="E92" s="9" t="s">
        <v>298</v>
      </c>
      <c r="F92" s="9" t="s">
        <v>299</v>
      </c>
      <c r="G92" s="9">
        <v>1000639101</v>
      </c>
      <c r="H92" s="9" t="s">
        <v>25</v>
      </c>
      <c r="I92" s="9" t="s">
        <v>32</v>
      </c>
      <c r="J92" s="9" t="s">
        <v>288</v>
      </c>
      <c r="K92" s="9" t="s">
        <v>60</v>
      </c>
      <c r="L92" s="9" t="e">
        <f>VLOOKUP(J92,#REF!,2,FALSE)</f>
        <v>#REF!</v>
      </c>
      <c r="M92" s="11" t="s">
        <v>61</v>
      </c>
      <c r="N92" s="12" t="s">
        <v>28</v>
      </c>
      <c r="O92" s="13" t="s">
        <v>29</v>
      </c>
      <c r="P92" s="13" t="s">
        <v>29</v>
      </c>
      <c r="Q92" s="13" t="s">
        <v>29</v>
      </c>
      <c r="R92" s="14">
        <v>225955.38</v>
      </c>
      <c r="S92" s="14" t="e">
        <f>VLOOKUP(I92,#REF!,2,FALSE)</f>
        <v>#REF!</v>
      </c>
      <c r="T92" s="14" t="e">
        <f t="shared" si="1"/>
        <v>#REF!</v>
      </c>
    </row>
    <row r="93" spans="1:20" x14ac:dyDescent="0.45">
      <c r="A93" s="9" t="s">
        <v>19</v>
      </c>
      <c r="B93" s="9" t="s">
        <v>287</v>
      </c>
      <c r="C93" s="9" t="s">
        <v>288</v>
      </c>
      <c r="D93" s="9" t="s">
        <v>300</v>
      </c>
      <c r="E93" s="9" t="s">
        <v>301</v>
      </c>
      <c r="F93" s="9" t="s">
        <v>302</v>
      </c>
      <c r="G93" s="9">
        <v>3128340504</v>
      </c>
      <c r="H93" s="9" t="s">
        <v>25</v>
      </c>
      <c r="I93" s="9" t="s">
        <v>32</v>
      </c>
      <c r="J93" s="9" t="s">
        <v>288</v>
      </c>
      <c r="K93" s="9" t="s">
        <v>60</v>
      </c>
      <c r="L93" s="9" t="e">
        <f>VLOOKUP(J93,#REF!,2,FALSE)</f>
        <v>#REF!</v>
      </c>
      <c r="M93" s="11" t="s">
        <v>61</v>
      </c>
      <c r="N93" s="12" t="s">
        <v>28</v>
      </c>
      <c r="O93" s="13" t="s">
        <v>29</v>
      </c>
      <c r="P93" s="13" t="s">
        <v>29</v>
      </c>
      <c r="Q93" s="13" t="s">
        <v>29</v>
      </c>
      <c r="R93" s="14">
        <v>102054.78</v>
      </c>
      <c r="S93" s="14" t="e">
        <f>VLOOKUP(I93,#REF!,2,FALSE)</f>
        <v>#REF!</v>
      </c>
      <c r="T93" s="14" t="e">
        <f t="shared" si="1"/>
        <v>#REF!</v>
      </c>
    </row>
    <row r="94" spans="1:20" x14ac:dyDescent="0.45">
      <c r="A94" s="9" t="s">
        <v>19</v>
      </c>
      <c r="B94" s="9" t="s">
        <v>287</v>
      </c>
      <c r="C94" s="9" t="s">
        <v>288</v>
      </c>
      <c r="D94" s="9" t="s">
        <v>300</v>
      </c>
      <c r="E94" s="9" t="s">
        <v>303</v>
      </c>
      <c r="F94" s="9" t="s">
        <v>304</v>
      </c>
      <c r="G94" s="9">
        <v>3131786704</v>
      </c>
      <c r="H94" s="9" t="s">
        <v>25</v>
      </c>
      <c r="I94" s="9" t="s">
        <v>32</v>
      </c>
      <c r="J94" s="9" t="s">
        <v>288</v>
      </c>
      <c r="K94" s="9" t="s">
        <v>60</v>
      </c>
      <c r="L94" s="9" t="e">
        <f>VLOOKUP(J94,#REF!,2,FALSE)</f>
        <v>#REF!</v>
      </c>
      <c r="M94" s="11" t="s">
        <v>61</v>
      </c>
      <c r="N94" s="12" t="s">
        <v>28</v>
      </c>
      <c r="O94" s="13" t="s">
        <v>29</v>
      </c>
      <c r="P94" s="13" t="s">
        <v>29</v>
      </c>
      <c r="Q94" s="13" t="s">
        <v>29</v>
      </c>
      <c r="R94" s="14">
        <v>254.13</v>
      </c>
      <c r="S94" s="14" t="e">
        <f>VLOOKUP(I94,#REF!,2,FALSE)</f>
        <v>#REF!</v>
      </c>
      <c r="T94" s="14" t="e">
        <f t="shared" si="1"/>
        <v>#REF!</v>
      </c>
    </row>
    <row r="95" spans="1:20" x14ac:dyDescent="0.45">
      <c r="A95" s="9" t="s">
        <v>19</v>
      </c>
      <c r="B95" s="9" t="s">
        <v>287</v>
      </c>
      <c r="C95" s="9" t="s">
        <v>288</v>
      </c>
      <c r="D95" s="9" t="s">
        <v>305</v>
      </c>
      <c r="E95" s="9" t="s">
        <v>306</v>
      </c>
      <c r="F95" s="9" t="s">
        <v>307</v>
      </c>
      <c r="G95" s="9">
        <v>1337009</v>
      </c>
      <c r="H95" s="9" t="s">
        <v>25</v>
      </c>
      <c r="I95" s="9" t="s">
        <v>32</v>
      </c>
      <c r="J95" s="9" t="s">
        <v>288</v>
      </c>
      <c r="K95" s="9" t="s">
        <v>60</v>
      </c>
      <c r="L95" s="9" t="e">
        <f>VLOOKUP(J95,#REF!,2,FALSE)</f>
        <v>#REF!</v>
      </c>
      <c r="M95" s="11" t="s">
        <v>61</v>
      </c>
      <c r="N95" s="12" t="s">
        <v>28</v>
      </c>
      <c r="O95" s="13" t="s">
        <v>29</v>
      </c>
      <c r="P95" s="13" t="s">
        <v>29</v>
      </c>
      <c r="Q95" s="13" t="s">
        <v>29</v>
      </c>
      <c r="R95" s="14">
        <v>8000000</v>
      </c>
      <c r="S95" s="14" t="e">
        <f>VLOOKUP(I95,#REF!,2,FALSE)</f>
        <v>#REF!</v>
      </c>
      <c r="T95" s="14" t="e">
        <f t="shared" si="1"/>
        <v>#REF!</v>
      </c>
    </row>
    <row r="96" spans="1:20" x14ac:dyDescent="0.45">
      <c r="A96" s="9" t="s">
        <v>19</v>
      </c>
      <c r="B96" s="9" t="s">
        <v>287</v>
      </c>
      <c r="C96" s="9" t="s">
        <v>288</v>
      </c>
      <c r="D96" s="9" t="s">
        <v>308</v>
      </c>
      <c r="E96" s="9" t="s">
        <v>309</v>
      </c>
      <c r="F96" s="9" t="s">
        <v>310</v>
      </c>
      <c r="G96" s="9">
        <v>1006006807</v>
      </c>
      <c r="H96" s="9" t="s">
        <v>25</v>
      </c>
      <c r="I96" s="9" t="s">
        <v>32</v>
      </c>
      <c r="J96" s="9" t="s">
        <v>288</v>
      </c>
      <c r="K96" s="9" t="s">
        <v>60</v>
      </c>
      <c r="L96" s="9" t="e">
        <f>VLOOKUP(J96,#REF!,2,FALSE)</f>
        <v>#REF!</v>
      </c>
      <c r="M96" s="11" t="s">
        <v>61</v>
      </c>
      <c r="N96" s="12" t="s">
        <v>28</v>
      </c>
      <c r="O96" s="13" t="s">
        <v>29</v>
      </c>
      <c r="P96" s="13" t="s">
        <v>29</v>
      </c>
      <c r="Q96" s="13" t="s">
        <v>29</v>
      </c>
      <c r="R96" s="14">
        <v>0</v>
      </c>
      <c r="S96" s="14" t="e">
        <f>VLOOKUP(I96,#REF!,2,FALSE)</f>
        <v>#REF!</v>
      </c>
      <c r="T96" s="14" t="e">
        <f t="shared" si="1"/>
        <v>#REF!</v>
      </c>
    </row>
    <row r="97" spans="1:20" x14ac:dyDescent="0.45">
      <c r="A97" s="9" t="s">
        <v>19</v>
      </c>
      <c r="B97" s="9" t="s">
        <v>287</v>
      </c>
      <c r="C97" s="9" t="s">
        <v>288</v>
      </c>
      <c r="D97" s="9" t="s">
        <v>308</v>
      </c>
      <c r="E97" s="9" t="s">
        <v>311</v>
      </c>
      <c r="F97" s="9" t="s">
        <v>312</v>
      </c>
      <c r="G97" s="9">
        <v>10085157</v>
      </c>
      <c r="H97" s="9" t="s">
        <v>25</v>
      </c>
      <c r="I97" s="9" t="s">
        <v>32</v>
      </c>
      <c r="J97" s="9" t="s">
        <v>288</v>
      </c>
      <c r="K97" s="9" t="s">
        <v>60</v>
      </c>
      <c r="L97" s="9" t="e">
        <f>VLOOKUP(J97,#REF!,2,FALSE)</f>
        <v>#REF!</v>
      </c>
      <c r="M97" s="11" t="s">
        <v>61</v>
      </c>
      <c r="N97" s="12" t="s">
        <v>28</v>
      </c>
      <c r="O97" s="13" t="s">
        <v>29</v>
      </c>
      <c r="P97" s="13" t="s">
        <v>29</v>
      </c>
      <c r="Q97" s="13" t="s">
        <v>29</v>
      </c>
      <c r="R97" s="14">
        <v>283807.51</v>
      </c>
      <c r="S97" s="14" t="e">
        <f>VLOOKUP(I97,#REF!,2,FALSE)</f>
        <v>#REF!</v>
      </c>
      <c r="T97" s="14" t="e">
        <f t="shared" si="1"/>
        <v>#REF!</v>
      </c>
    </row>
    <row r="98" spans="1:20" x14ac:dyDescent="0.45">
      <c r="A98" s="9" t="s">
        <v>19</v>
      </c>
      <c r="B98" s="9" t="s">
        <v>313</v>
      </c>
      <c r="C98" s="9" t="s">
        <v>314</v>
      </c>
      <c r="D98" s="9" t="s">
        <v>315</v>
      </c>
      <c r="E98" s="9" t="s">
        <v>316</v>
      </c>
      <c r="F98" s="9" t="s">
        <v>317</v>
      </c>
      <c r="G98" s="9">
        <v>57518</v>
      </c>
      <c r="H98" s="9" t="s">
        <v>126</v>
      </c>
      <c r="I98" s="9" t="s">
        <v>318</v>
      </c>
      <c r="J98" s="9" t="s">
        <v>314</v>
      </c>
      <c r="K98" s="9" t="s">
        <v>60</v>
      </c>
      <c r="L98" s="9" t="e">
        <f>VLOOKUP(J98,#REF!,2,FALSE)</f>
        <v>#REF!</v>
      </c>
      <c r="M98" s="11" t="s">
        <v>61</v>
      </c>
      <c r="N98" s="12" t="s">
        <v>28</v>
      </c>
      <c r="O98" s="13" t="s">
        <v>29</v>
      </c>
      <c r="P98" s="13" t="s">
        <v>29</v>
      </c>
      <c r="Q98" s="13" t="s">
        <v>29</v>
      </c>
      <c r="R98" s="14">
        <v>147148529</v>
      </c>
      <c r="S98" s="14" t="e">
        <f>VLOOKUP(I98,#REF!,2,FALSE)</f>
        <v>#REF!</v>
      </c>
      <c r="T98" s="14" t="e">
        <f t="shared" si="1"/>
        <v>#REF!</v>
      </c>
    </row>
    <row r="99" spans="1:20" x14ac:dyDescent="0.45">
      <c r="A99" s="9" t="s">
        <v>19</v>
      </c>
      <c r="B99" s="9" t="s">
        <v>313</v>
      </c>
      <c r="C99" s="9" t="s">
        <v>314</v>
      </c>
      <c r="D99" s="9" t="s">
        <v>315</v>
      </c>
      <c r="E99" s="9" t="s">
        <v>316</v>
      </c>
      <c r="F99" s="9" t="s">
        <v>319</v>
      </c>
      <c r="G99" s="9">
        <v>60075</v>
      </c>
      <c r="H99" s="9" t="s">
        <v>126</v>
      </c>
      <c r="I99" s="9" t="s">
        <v>318</v>
      </c>
      <c r="J99" s="9" t="s">
        <v>314</v>
      </c>
      <c r="K99" s="9" t="s">
        <v>60</v>
      </c>
      <c r="L99" s="9" t="e">
        <f>VLOOKUP(J99,#REF!,2,FALSE)</f>
        <v>#REF!</v>
      </c>
      <c r="M99" s="11" t="s">
        <v>61</v>
      </c>
      <c r="N99" s="12" t="s">
        <v>28</v>
      </c>
      <c r="O99" s="13" t="s">
        <v>29</v>
      </c>
      <c r="P99" s="13" t="s">
        <v>29</v>
      </c>
      <c r="Q99" s="13" t="s">
        <v>29</v>
      </c>
      <c r="R99" s="14">
        <v>1274176681.47</v>
      </c>
      <c r="S99" s="14" t="e">
        <f>VLOOKUP(I99,#REF!,2,FALSE)</f>
        <v>#REF!</v>
      </c>
      <c r="T99" s="14" t="e">
        <f t="shared" si="1"/>
        <v>#REF!</v>
      </c>
    </row>
    <row r="100" spans="1:20" x14ac:dyDescent="0.45">
      <c r="A100" s="9" t="s">
        <v>19</v>
      </c>
      <c r="B100" s="9" t="s">
        <v>313</v>
      </c>
      <c r="C100" s="9" t="s">
        <v>314</v>
      </c>
      <c r="D100" s="9" t="s">
        <v>320</v>
      </c>
      <c r="E100" s="9" t="s">
        <v>321</v>
      </c>
      <c r="F100" s="9" t="s">
        <v>322</v>
      </c>
      <c r="G100" s="9">
        <v>2160409018</v>
      </c>
      <c r="H100" s="9" t="s">
        <v>25</v>
      </c>
      <c r="I100" s="9" t="s">
        <v>318</v>
      </c>
      <c r="J100" s="9" t="s">
        <v>314</v>
      </c>
      <c r="K100" s="9" t="s">
        <v>60</v>
      </c>
      <c r="L100" s="9" t="e">
        <f>VLOOKUP(J100,#REF!,2,FALSE)</f>
        <v>#REF!</v>
      </c>
      <c r="M100" s="11" t="s">
        <v>170</v>
      </c>
      <c r="N100" s="12" t="s">
        <v>28</v>
      </c>
      <c r="O100" s="13" t="s">
        <v>29</v>
      </c>
      <c r="P100" s="13" t="s">
        <v>29</v>
      </c>
      <c r="Q100" s="13" t="s">
        <v>29</v>
      </c>
      <c r="R100" s="14">
        <v>23645634</v>
      </c>
      <c r="S100" s="14" t="e">
        <f>VLOOKUP(I100,#REF!,2,FALSE)</f>
        <v>#REF!</v>
      </c>
      <c r="T100" s="14" t="e">
        <f t="shared" si="1"/>
        <v>#REF!</v>
      </c>
    </row>
    <row r="101" spans="1:20" x14ac:dyDescent="0.45">
      <c r="A101" s="9" t="s">
        <v>19</v>
      </c>
      <c r="B101" s="9" t="s">
        <v>323</v>
      </c>
      <c r="C101" s="9" t="s">
        <v>324</v>
      </c>
      <c r="D101" s="9" t="s">
        <v>325</v>
      </c>
      <c r="E101" s="9" t="s">
        <v>525</v>
      </c>
      <c r="F101" s="9" t="s">
        <v>326</v>
      </c>
      <c r="G101" s="9">
        <v>230440807018</v>
      </c>
      <c r="H101" s="9" t="s">
        <v>327</v>
      </c>
      <c r="I101" s="9" t="s">
        <v>328</v>
      </c>
      <c r="J101" s="9" t="s">
        <v>324</v>
      </c>
      <c r="K101" s="9" t="s">
        <v>27</v>
      </c>
      <c r="L101" s="9" t="e">
        <f>VLOOKUP(J101,#REF!,2,FALSE)</f>
        <v>#REF!</v>
      </c>
      <c r="N101" s="11" t="s">
        <v>28</v>
      </c>
      <c r="P101" s="13" t="s">
        <v>29</v>
      </c>
      <c r="Q101" s="13" t="s">
        <v>28</v>
      </c>
      <c r="R101" s="14">
        <v>0</v>
      </c>
      <c r="S101" s="14" t="e">
        <f>VLOOKUP(I101,#REF!,2,FALSE)</f>
        <v>#REF!</v>
      </c>
      <c r="T101" s="14" t="e">
        <f t="shared" si="1"/>
        <v>#REF!</v>
      </c>
    </row>
    <row r="102" spans="1:20" x14ac:dyDescent="0.45">
      <c r="A102" s="9" t="s">
        <v>19</v>
      </c>
      <c r="B102" s="9" t="s">
        <v>323</v>
      </c>
      <c r="C102" s="9" t="s">
        <v>324</v>
      </c>
      <c r="D102" s="9" t="s">
        <v>325</v>
      </c>
      <c r="E102" s="9" t="s">
        <v>526</v>
      </c>
      <c r="F102" s="9" t="s">
        <v>329</v>
      </c>
      <c r="G102" s="9">
        <v>10437358019</v>
      </c>
      <c r="H102" s="9" t="s">
        <v>327</v>
      </c>
      <c r="I102" s="9" t="s">
        <v>328</v>
      </c>
      <c r="J102" s="9" t="s">
        <v>324</v>
      </c>
      <c r="K102" s="9" t="s">
        <v>27</v>
      </c>
      <c r="L102" s="9" t="e">
        <f>VLOOKUP(J102,#REF!,2,FALSE)</f>
        <v>#REF!</v>
      </c>
      <c r="N102" s="11" t="s">
        <v>28</v>
      </c>
      <c r="P102" s="13" t="s">
        <v>29</v>
      </c>
      <c r="Q102" s="13" t="s">
        <v>28</v>
      </c>
      <c r="R102" s="14">
        <v>28660</v>
      </c>
      <c r="S102" s="14" t="e">
        <f>VLOOKUP(I102,#REF!,2,FALSE)</f>
        <v>#REF!</v>
      </c>
      <c r="T102" s="14" t="e">
        <f t="shared" si="1"/>
        <v>#REF!</v>
      </c>
    </row>
    <row r="103" spans="1:20" x14ac:dyDescent="0.45">
      <c r="A103" s="9" t="s">
        <v>19</v>
      </c>
      <c r="B103" s="9" t="s">
        <v>323</v>
      </c>
      <c r="C103" s="9" t="s">
        <v>324</v>
      </c>
      <c r="D103" s="9" t="s">
        <v>330</v>
      </c>
      <c r="E103" s="9" t="s">
        <v>331</v>
      </c>
      <c r="F103" s="9" t="s">
        <v>332</v>
      </c>
      <c r="G103" s="9" t="s">
        <v>332</v>
      </c>
      <c r="H103" s="9" t="s">
        <v>327</v>
      </c>
      <c r="I103" s="9" t="s">
        <v>328</v>
      </c>
      <c r="J103" s="9" t="s">
        <v>324</v>
      </c>
      <c r="K103" s="9" t="s">
        <v>27</v>
      </c>
      <c r="L103" s="9" t="e">
        <f>VLOOKUP(J103,#REF!,2,FALSE)</f>
        <v>#REF!</v>
      </c>
      <c r="N103" s="11" t="s">
        <v>28</v>
      </c>
      <c r="P103" s="13" t="s">
        <v>29</v>
      </c>
      <c r="Q103" s="13" t="s">
        <v>28</v>
      </c>
      <c r="R103" s="14">
        <v>0</v>
      </c>
      <c r="S103" s="14" t="e">
        <f>VLOOKUP(I103,#REF!,2,FALSE)</f>
        <v>#REF!</v>
      </c>
      <c r="T103" s="14" t="e">
        <f t="shared" si="1"/>
        <v>#REF!</v>
      </c>
    </row>
    <row r="104" spans="1:20" x14ac:dyDescent="0.45">
      <c r="A104" s="9" t="s">
        <v>19</v>
      </c>
      <c r="B104" s="9" t="s">
        <v>323</v>
      </c>
      <c r="C104" s="9" t="s">
        <v>324</v>
      </c>
      <c r="D104" s="9" t="s">
        <v>330</v>
      </c>
      <c r="E104" s="9" t="s">
        <v>333</v>
      </c>
      <c r="F104" s="9" t="s">
        <v>334</v>
      </c>
      <c r="G104" s="9" t="s">
        <v>334</v>
      </c>
      <c r="H104" s="9" t="s">
        <v>327</v>
      </c>
      <c r="I104" s="9" t="s">
        <v>328</v>
      </c>
      <c r="J104" s="9" t="s">
        <v>324</v>
      </c>
      <c r="K104" s="9" t="s">
        <v>27</v>
      </c>
      <c r="L104" s="9" t="e">
        <f>VLOOKUP(J104,#REF!,2,FALSE)</f>
        <v>#REF!</v>
      </c>
      <c r="N104" s="11" t="s">
        <v>28</v>
      </c>
      <c r="P104" s="13" t="s">
        <v>29</v>
      </c>
      <c r="Q104" s="13" t="s">
        <v>28</v>
      </c>
      <c r="R104" s="14">
        <v>0</v>
      </c>
      <c r="S104" s="14" t="e">
        <f>VLOOKUP(I104,#REF!,2,FALSE)</f>
        <v>#REF!</v>
      </c>
      <c r="T104" s="14" t="e">
        <f t="shared" si="1"/>
        <v>#REF!</v>
      </c>
    </row>
    <row r="105" spans="1:20" x14ac:dyDescent="0.45">
      <c r="A105" s="9" t="s">
        <v>19</v>
      </c>
      <c r="B105" s="9" t="s">
        <v>323</v>
      </c>
      <c r="C105" s="9" t="s">
        <v>324</v>
      </c>
      <c r="D105" s="9" t="s">
        <v>335</v>
      </c>
      <c r="E105" s="9" t="s">
        <v>336</v>
      </c>
      <c r="F105" s="9" t="s">
        <v>337</v>
      </c>
      <c r="G105" s="9">
        <v>9130001759586</v>
      </c>
      <c r="H105" s="9" t="s">
        <v>327</v>
      </c>
      <c r="I105" s="9" t="s">
        <v>328</v>
      </c>
      <c r="J105" s="9" t="s">
        <v>324</v>
      </c>
      <c r="K105" s="9" t="s">
        <v>27</v>
      </c>
      <c r="L105" s="9" t="e">
        <f>VLOOKUP(J105,#REF!,2,FALSE)</f>
        <v>#REF!</v>
      </c>
      <c r="N105" s="11" t="s">
        <v>28</v>
      </c>
      <c r="P105" s="13" t="s">
        <v>29</v>
      </c>
      <c r="Q105" s="13" t="s">
        <v>28</v>
      </c>
      <c r="R105" s="14">
        <v>0</v>
      </c>
      <c r="S105" s="14" t="e">
        <f>VLOOKUP(I105,#REF!,2,FALSE)</f>
        <v>#REF!</v>
      </c>
      <c r="T105" s="14" t="e">
        <f t="shared" si="1"/>
        <v>#REF!</v>
      </c>
    </row>
    <row r="106" spans="1:20" x14ac:dyDescent="0.45">
      <c r="A106" s="9" t="s">
        <v>19</v>
      </c>
      <c r="B106" s="9" t="s">
        <v>323</v>
      </c>
      <c r="C106" s="9" t="s">
        <v>324</v>
      </c>
      <c r="D106" s="9" t="s">
        <v>335</v>
      </c>
      <c r="E106" s="9" t="s">
        <v>338</v>
      </c>
      <c r="F106" s="9" t="s">
        <v>339</v>
      </c>
      <c r="G106" s="9">
        <v>9130001456575</v>
      </c>
      <c r="H106" s="9" t="s">
        <v>327</v>
      </c>
      <c r="I106" s="9" t="s">
        <v>328</v>
      </c>
      <c r="J106" s="9" t="s">
        <v>324</v>
      </c>
      <c r="K106" s="9" t="s">
        <v>27</v>
      </c>
      <c r="L106" s="9" t="e">
        <f>VLOOKUP(J106,#REF!,2,FALSE)</f>
        <v>#REF!</v>
      </c>
      <c r="N106" s="11" t="s">
        <v>28</v>
      </c>
      <c r="P106" s="13" t="s">
        <v>29</v>
      </c>
      <c r="Q106" s="13" t="s">
        <v>28</v>
      </c>
      <c r="R106" s="14">
        <v>0</v>
      </c>
      <c r="S106" s="14" t="e">
        <f>VLOOKUP(I106,#REF!,2,FALSE)</f>
        <v>#REF!</v>
      </c>
      <c r="T106" s="14" t="e">
        <f t="shared" si="1"/>
        <v>#REF!</v>
      </c>
    </row>
    <row r="107" spans="1:20" x14ac:dyDescent="0.45">
      <c r="A107" s="9" t="s">
        <v>19</v>
      </c>
      <c r="B107" s="9" t="s">
        <v>323</v>
      </c>
      <c r="C107" s="9" t="s">
        <v>324</v>
      </c>
      <c r="D107" s="9" t="s">
        <v>335</v>
      </c>
      <c r="E107" s="9" t="s">
        <v>340</v>
      </c>
      <c r="F107" s="9" t="s">
        <v>341</v>
      </c>
      <c r="G107" s="9">
        <v>9130003312252</v>
      </c>
      <c r="H107" s="9" t="s">
        <v>327</v>
      </c>
      <c r="I107" s="9" t="s">
        <v>328</v>
      </c>
      <c r="J107" s="9" t="s">
        <v>324</v>
      </c>
      <c r="K107" s="9" t="s">
        <v>27</v>
      </c>
      <c r="L107" s="9" t="e">
        <f>VLOOKUP(J107,#REF!,2,FALSE)</f>
        <v>#REF!</v>
      </c>
      <c r="N107" s="11" t="s">
        <v>28</v>
      </c>
      <c r="P107" s="13" t="s">
        <v>29</v>
      </c>
      <c r="Q107" s="13" t="s">
        <v>28</v>
      </c>
      <c r="R107" s="14">
        <v>0</v>
      </c>
      <c r="S107" s="14" t="e">
        <f>VLOOKUP(I107,#REF!,2,FALSE)</f>
        <v>#REF!</v>
      </c>
      <c r="T107" s="14" t="e">
        <f t="shared" si="1"/>
        <v>#REF!</v>
      </c>
    </row>
    <row r="108" spans="1:20" x14ac:dyDescent="0.45">
      <c r="A108" s="9" t="s">
        <v>19</v>
      </c>
      <c r="B108" s="9" t="s">
        <v>323</v>
      </c>
      <c r="C108" s="9" t="s">
        <v>324</v>
      </c>
      <c r="D108" s="9" t="s">
        <v>335</v>
      </c>
      <c r="E108" s="9" t="s">
        <v>342</v>
      </c>
      <c r="F108" s="9" t="s">
        <v>343</v>
      </c>
      <c r="G108" s="9">
        <v>9130000993682</v>
      </c>
      <c r="H108" s="9" t="s">
        <v>129</v>
      </c>
      <c r="I108" s="9" t="s">
        <v>328</v>
      </c>
      <c r="J108" s="9" t="s">
        <v>324</v>
      </c>
      <c r="K108" s="9" t="s">
        <v>27</v>
      </c>
      <c r="L108" s="9" t="e">
        <f>VLOOKUP(J108,#REF!,2,FALSE)</f>
        <v>#REF!</v>
      </c>
      <c r="N108" s="11" t="s">
        <v>28</v>
      </c>
      <c r="P108" s="13" t="s">
        <v>29</v>
      </c>
      <c r="Q108" s="13" t="s">
        <v>28</v>
      </c>
      <c r="R108" s="14">
        <v>46022239.810000002</v>
      </c>
      <c r="S108" s="14" t="e">
        <f>VLOOKUP(I108,#REF!,2,FALSE)</f>
        <v>#REF!</v>
      </c>
      <c r="T108" s="14" t="e">
        <f t="shared" si="1"/>
        <v>#REF!</v>
      </c>
    </row>
    <row r="109" spans="1:20" x14ac:dyDescent="0.45">
      <c r="A109" s="9" t="s">
        <v>19</v>
      </c>
      <c r="B109" s="9" t="s">
        <v>323</v>
      </c>
      <c r="C109" s="9" t="s">
        <v>324</v>
      </c>
      <c r="D109" s="9" t="s">
        <v>325</v>
      </c>
      <c r="E109" s="9" t="s">
        <v>527</v>
      </c>
      <c r="F109" s="9" t="s">
        <v>344</v>
      </c>
      <c r="G109" s="9">
        <v>340455078103</v>
      </c>
      <c r="H109" s="9" t="s">
        <v>25</v>
      </c>
      <c r="I109" s="9" t="s">
        <v>32</v>
      </c>
      <c r="J109" s="9" t="s">
        <v>324</v>
      </c>
      <c r="K109" s="9" t="s">
        <v>27</v>
      </c>
      <c r="L109" s="9" t="e">
        <f>VLOOKUP(J109,#REF!,2,FALSE)</f>
        <v>#REF!</v>
      </c>
      <c r="N109" s="11" t="s">
        <v>28</v>
      </c>
      <c r="P109" s="13" t="s">
        <v>29</v>
      </c>
      <c r="Q109" s="13" t="s">
        <v>28</v>
      </c>
      <c r="R109" s="14">
        <v>216970</v>
      </c>
      <c r="S109" s="14" t="e">
        <f>VLOOKUP(I109,#REF!,2,FALSE)</f>
        <v>#REF!</v>
      </c>
      <c r="T109" s="14" t="e">
        <f t="shared" si="1"/>
        <v>#REF!</v>
      </c>
    </row>
    <row r="110" spans="1:20" x14ac:dyDescent="0.45">
      <c r="A110" s="9" t="s">
        <v>19</v>
      </c>
      <c r="B110" s="9" t="s">
        <v>323</v>
      </c>
      <c r="C110" s="9" t="s">
        <v>324</v>
      </c>
      <c r="D110" s="9" t="s">
        <v>325</v>
      </c>
      <c r="E110" s="9" t="s">
        <v>528</v>
      </c>
      <c r="F110" s="9" t="s">
        <v>345</v>
      </c>
      <c r="G110" s="9">
        <v>10437358008</v>
      </c>
      <c r="H110" s="9" t="s">
        <v>25</v>
      </c>
      <c r="I110" s="9" t="s">
        <v>328</v>
      </c>
      <c r="J110" s="9" t="s">
        <v>324</v>
      </c>
      <c r="K110" s="9" t="s">
        <v>27</v>
      </c>
      <c r="L110" s="9" t="e">
        <f>VLOOKUP(J110,#REF!,2,FALSE)</f>
        <v>#REF!</v>
      </c>
      <c r="N110" s="11" t="s">
        <v>28</v>
      </c>
      <c r="P110" s="13" t="s">
        <v>29</v>
      </c>
      <c r="Q110" s="13" t="s">
        <v>28</v>
      </c>
      <c r="R110" s="14">
        <v>1417505</v>
      </c>
      <c r="S110" s="14" t="e">
        <f>VLOOKUP(I110,#REF!,2,FALSE)</f>
        <v>#REF!</v>
      </c>
      <c r="T110" s="14" t="e">
        <f t="shared" si="1"/>
        <v>#REF!</v>
      </c>
    </row>
    <row r="111" spans="1:20" x14ac:dyDescent="0.45">
      <c r="A111" s="9" t="s">
        <v>19</v>
      </c>
      <c r="B111" s="9" t="s">
        <v>323</v>
      </c>
      <c r="C111" s="9" t="s">
        <v>324</v>
      </c>
      <c r="D111" s="9" t="s">
        <v>325</v>
      </c>
      <c r="E111" s="9" t="s">
        <v>346</v>
      </c>
      <c r="F111" s="9" t="s">
        <v>347</v>
      </c>
      <c r="G111" s="9">
        <v>340455078012</v>
      </c>
      <c r="H111" s="9" t="s">
        <v>25</v>
      </c>
      <c r="I111" s="9" t="s">
        <v>328</v>
      </c>
      <c r="J111" s="9" t="s">
        <v>324</v>
      </c>
      <c r="K111" s="9" t="s">
        <v>27</v>
      </c>
      <c r="L111" s="9" t="e">
        <f>VLOOKUP(J111,#REF!,2,FALSE)</f>
        <v>#REF!</v>
      </c>
      <c r="N111" s="11" t="s">
        <v>28</v>
      </c>
      <c r="P111" s="13" t="s">
        <v>29</v>
      </c>
      <c r="Q111" s="13" t="s">
        <v>28</v>
      </c>
      <c r="R111" s="14">
        <v>123003</v>
      </c>
      <c r="S111" s="14" t="e">
        <f>VLOOKUP(I111,#REF!,2,FALSE)</f>
        <v>#REF!</v>
      </c>
      <c r="T111" s="14" t="e">
        <f t="shared" si="1"/>
        <v>#REF!</v>
      </c>
    </row>
    <row r="112" spans="1:20" x14ac:dyDescent="0.45">
      <c r="A112" s="9" t="s">
        <v>19</v>
      </c>
      <c r="B112" s="9" t="s">
        <v>323</v>
      </c>
      <c r="C112" s="9" t="s">
        <v>324</v>
      </c>
      <c r="D112" s="9" t="s">
        <v>330</v>
      </c>
      <c r="E112" s="9" t="s">
        <v>348</v>
      </c>
      <c r="F112" s="9" t="s">
        <v>349</v>
      </c>
      <c r="G112" s="9">
        <v>6552508</v>
      </c>
      <c r="H112" s="9" t="s">
        <v>25</v>
      </c>
      <c r="I112" s="9" t="s">
        <v>328</v>
      </c>
      <c r="J112" s="9" t="s">
        <v>324</v>
      </c>
      <c r="K112" s="9" t="s">
        <v>27</v>
      </c>
      <c r="L112" s="9" t="e">
        <f>VLOOKUP(J112,#REF!,2,FALSE)</f>
        <v>#REF!</v>
      </c>
      <c r="N112" s="11" t="s">
        <v>28</v>
      </c>
      <c r="P112" s="13" t="s">
        <v>29</v>
      </c>
      <c r="Q112" s="13" t="s">
        <v>28</v>
      </c>
      <c r="R112" s="14">
        <v>120454</v>
      </c>
      <c r="S112" s="14" t="e">
        <f>VLOOKUP(I112,#REF!,2,FALSE)</f>
        <v>#REF!</v>
      </c>
      <c r="T112" s="14" t="e">
        <f t="shared" si="1"/>
        <v>#REF!</v>
      </c>
    </row>
    <row r="113" spans="1:20" x14ac:dyDescent="0.45">
      <c r="A113" s="9" t="s">
        <v>19</v>
      </c>
      <c r="B113" s="9" t="s">
        <v>323</v>
      </c>
      <c r="C113" s="9" t="s">
        <v>324</v>
      </c>
      <c r="D113" s="9" t="s">
        <v>330</v>
      </c>
      <c r="E113" s="9" t="s">
        <v>350</v>
      </c>
      <c r="F113" s="9" t="s">
        <v>351</v>
      </c>
      <c r="G113" s="9" t="s">
        <v>351</v>
      </c>
      <c r="H113" s="9" t="s">
        <v>25</v>
      </c>
      <c r="I113" s="9" t="s">
        <v>328</v>
      </c>
      <c r="J113" s="9" t="s">
        <v>324</v>
      </c>
      <c r="K113" s="9" t="s">
        <v>27</v>
      </c>
      <c r="L113" s="9" t="e">
        <f>VLOOKUP(J113,#REF!,2,FALSE)</f>
        <v>#REF!</v>
      </c>
      <c r="N113" s="11" t="s">
        <v>28</v>
      </c>
      <c r="P113" s="13" t="s">
        <v>29</v>
      </c>
      <c r="Q113" s="13" t="s">
        <v>28</v>
      </c>
      <c r="R113" s="14">
        <v>253024.98</v>
      </c>
      <c r="S113" s="14" t="e">
        <f>VLOOKUP(I113,#REF!,2,FALSE)</f>
        <v>#REF!</v>
      </c>
      <c r="T113" s="14" t="e">
        <f t="shared" si="1"/>
        <v>#REF!</v>
      </c>
    </row>
    <row r="114" spans="1:20" x14ac:dyDescent="0.45">
      <c r="A114" s="9" t="s">
        <v>19</v>
      </c>
      <c r="B114" s="9" t="s">
        <v>323</v>
      </c>
      <c r="C114" s="9" t="s">
        <v>324</v>
      </c>
      <c r="D114" s="9" t="s">
        <v>335</v>
      </c>
      <c r="E114" s="9" t="s">
        <v>352</v>
      </c>
      <c r="F114" s="9" t="s">
        <v>353</v>
      </c>
      <c r="G114" s="9">
        <v>9130001196689</v>
      </c>
      <c r="H114" s="9" t="s">
        <v>25</v>
      </c>
      <c r="I114" s="9" t="s">
        <v>32</v>
      </c>
      <c r="J114" s="9" t="s">
        <v>324</v>
      </c>
      <c r="K114" s="9" t="s">
        <v>27</v>
      </c>
      <c r="L114" s="9" t="e">
        <f>VLOOKUP(J114,#REF!,2,FALSE)</f>
        <v>#REF!</v>
      </c>
      <c r="N114" s="11" t="s">
        <v>28</v>
      </c>
      <c r="P114" s="13" t="s">
        <v>29</v>
      </c>
      <c r="Q114" s="13" t="s">
        <v>28</v>
      </c>
      <c r="R114" s="14">
        <v>1211053.78</v>
      </c>
      <c r="S114" s="14" t="e">
        <f>VLOOKUP(I114,#REF!,2,FALSE)</f>
        <v>#REF!</v>
      </c>
      <c r="T114" s="14" t="e">
        <f t="shared" si="1"/>
        <v>#REF!</v>
      </c>
    </row>
    <row r="115" spans="1:20" x14ac:dyDescent="0.45">
      <c r="A115" s="9" t="s">
        <v>19</v>
      </c>
      <c r="B115" s="9" t="s">
        <v>323</v>
      </c>
      <c r="C115" s="9" t="s">
        <v>324</v>
      </c>
      <c r="D115" s="9" t="s">
        <v>335</v>
      </c>
      <c r="E115" s="9" t="s">
        <v>354</v>
      </c>
      <c r="F115" s="9" t="s">
        <v>355</v>
      </c>
      <c r="G115" s="9">
        <v>9130002122158</v>
      </c>
      <c r="H115" s="9" t="s">
        <v>25</v>
      </c>
      <c r="I115" s="9" t="s">
        <v>328</v>
      </c>
      <c r="J115" s="9" t="s">
        <v>324</v>
      </c>
      <c r="K115" s="9" t="s">
        <v>27</v>
      </c>
      <c r="L115" s="9" t="e">
        <f>VLOOKUP(J115,#REF!,2,FALSE)</f>
        <v>#REF!</v>
      </c>
      <c r="N115" s="11" t="s">
        <v>28</v>
      </c>
      <c r="P115" s="13" t="s">
        <v>29</v>
      </c>
      <c r="Q115" s="13" t="s">
        <v>28</v>
      </c>
      <c r="R115" s="14">
        <v>0</v>
      </c>
      <c r="S115" s="14" t="e">
        <f>VLOOKUP(I115,#REF!,2,FALSE)</f>
        <v>#REF!</v>
      </c>
      <c r="T115" s="14" t="e">
        <f t="shared" si="1"/>
        <v>#REF!</v>
      </c>
    </row>
    <row r="116" spans="1:20" x14ac:dyDescent="0.45">
      <c r="A116" s="9" t="s">
        <v>19</v>
      </c>
      <c r="B116" s="9" t="s">
        <v>323</v>
      </c>
      <c r="C116" s="9" t="s">
        <v>324</v>
      </c>
      <c r="D116" s="9" t="s">
        <v>335</v>
      </c>
      <c r="E116" s="9" t="s">
        <v>356</v>
      </c>
      <c r="F116" s="9" t="s">
        <v>357</v>
      </c>
      <c r="G116" s="9">
        <v>9130006922515</v>
      </c>
      <c r="H116" s="9" t="s">
        <v>25</v>
      </c>
      <c r="I116" s="9" t="s">
        <v>112</v>
      </c>
      <c r="J116" s="9" t="s">
        <v>324</v>
      </c>
      <c r="K116" s="9" t="s">
        <v>27</v>
      </c>
      <c r="L116" s="9" t="e">
        <f>VLOOKUP(J116,#REF!,2,FALSE)</f>
        <v>#REF!</v>
      </c>
      <c r="N116" s="11" t="s">
        <v>28</v>
      </c>
      <c r="P116" s="13" t="s">
        <v>29</v>
      </c>
      <c r="Q116" s="13" t="s">
        <v>28</v>
      </c>
      <c r="R116" s="14">
        <v>456298.74</v>
      </c>
      <c r="S116" s="14" t="e">
        <f>VLOOKUP(I116,#REF!,2,FALSE)</f>
        <v>#REF!</v>
      </c>
      <c r="T116" s="14" t="e">
        <f t="shared" si="1"/>
        <v>#REF!</v>
      </c>
    </row>
    <row r="117" spans="1:20" x14ac:dyDescent="0.45">
      <c r="A117" s="9" t="s">
        <v>19</v>
      </c>
      <c r="B117" s="9" t="s">
        <v>323</v>
      </c>
      <c r="C117" s="9" t="s">
        <v>324</v>
      </c>
      <c r="D117" s="9" t="s">
        <v>358</v>
      </c>
      <c r="E117" s="9" t="s">
        <v>359</v>
      </c>
      <c r="F117" s="9" t="s">
        <v>360</v>
      </c>
      <c r="G117" s="9">
        <v>460124500146</v>
      </c>
      <c r="H117" s="9" t="s">
        <v>25</v>
      </c>
      <c r="I117" s="9" t="s">
        <v>328</v>
      </c>
      <c r="J117" s="9" t="s">
        <v>324</v>
      </c>
      <c r="K117" s="9" t="s">
        <v>27</v>
      </c>
      <c r="L117" s="9" t="e">
        <f>VLOOKUP(J117,#REF!,2,FALSE)</f>
        <v>#REF!</v>
      </c>
      <c r="N117" s="11" t="s">
        <v>28</v>
      </c>
      <c r="P117" s="13" t="s">
        <v>29</v>
      </c>
      <c r="Q117" s="13" t="s">
        <v>28</v>
      </c>
      <c r="R117" s="14">
        <v>5410836.4299999997</v>
      </c>
      <c r="S117" s="14" t="e">
        <f>VLOOKUP(I117,#REF!,2,FALSE)</f>
        <v>#REF!</v>
      </c>
      <c r="T117" s="14" t="e">
        <f t="shared" si="1"/>
        <v>#REF!</v>
      </c>
    </row>
    <row r="118" spans="1:20" x14ac:dyDescent="0.45">
      <c r="A118" s="9" t="s">
        <v>19</v>
      </c>
      <c r="B118" s="9" t="s">
        <v>323</v>
      </c>
      <c r="C118" s="9" t="s">
        <v>324</v>
      </c>
      <c r="D118" s="9" t="s">
        <v>330</v>
      </c>
      <c r="E118" s="9" t="s">
        <v>361</v>
      </c>
      <c r="F118" s="9" t="s">
        <v>362</v>
      </c>
      <c r="G118" s="9" t="s">
        <v>362</v>
      </c>
      <c r="H118" s="9" t="s">
        <v>121</v>
      </c>
      <c r="I118" s="9" t="s">
        <v>32</v>
      </c>
      <c r="J118" s="9" t="s">
        <v>324</v>
      </c>
      <c r="K118" s="9" t="s">
        <v>27</v>
      </c>
      <c r="L118" s="9" t="e">
        <f>VLOOKUP(J118,#REF!,2,FALSE)</f>
        <v>#REF!</v>
      </c>
      <c r="N118" s="11" t="s">
        <v>28</v>
      </c>
      <c r="P118" s="13" t="s">
        <v>29</v>
      </c>
      <c r="Q118" s="13" t="s">
        <v>28</v>
      </c>
      <c r="R118" s="14">
        <v>0</v>
      </c>
      <c r="S118" s="14" t="e">
        <f>VLOOKUP(I118,#REF!,2,FALSE)</f>
        <v>#REF!</v>
      </c>
      <c r="T118" s="14" t="e">
        <f t="shared" si="1"/>
        <v>#REF!</v>
      </c>
    </row>
    <row r="119" spans="1:20" x14ac:dyDescent="0.45">
      <c r="A119" s="9" t="s">
        <v>19</v>
      </c>
      <c r="B119" s="9" t="s">
        <v>363</v>
      </c>
      <c r="C119" s="9" t="s">
        <v>113</v>
      </c>
      <c r="D119" s="9" t="s">
        <v>364</v>
      </c>
      <c r="E119" s="9" t="s">
        <v>365</v>
      </c>
      <c r="F119" s="9" t="s">
        <v>366</v>
      </c>
      <c r="G119" s="9">
        <v>544379</v>
      </c>
      <c r="H119" s="9" t="s">
        <v>367</v>
      </c>
      <c r="I119" s="9" t="s">
        <v>112</v>
      </c>
      <c r="J119" s="9" t="s">
        <v>113</v>
      </c>
      <c r="K119" s="9" t="s">
        <v>27</v>
      </c>
      <c r="L119" s="9" t="e">
        <f>VLOOKUP(J119,#REF!,2,FALSE)</f>
        <v>#REF!</v>
      </c>
      <c r="N119" s="11" t="s">
        <v>28</v>
      </c>
      <c r="P119" s="13" t="s">
        <v>29</v>
      </c>
      <c r="Q119" s="13" t="s">
        <v>28</v>
      </c>
      <c r="R119" s="14">
        <v>60548.44</v>
      </c>
      <c r="S119" s="14" t="e">
        <f>VLOOKUP(I119,#REF!,2,FALSE)</f>
        <v>#REF!</v>
      </c>
      <c r="T119" s="14" t="e">
        <f t="shared" si="1"/>
        <v>#REF!</v>
      </c>
    </row>
    <row r="120" spans="1:20" x14ac:dyDescent="0.45">
      <c r="A120" s="9" t="s">
        <v>19</v>
      </c>
      <c r="B120" s="9" t="s">
        <v>363</v>
      </c>
      <c r="C120" s="9" t="s">
        <v>113</v>
      </c>
      <c r="D120" s="9" t="s">
        <v>364</v>
      </c>
      <c r="E120" s="9" t="s">
        <v>368</v>
      </c>
      <c r="F120" s="9" t="s">
        <v>369</v>
      </c>
      <c r="G120" s="9">
        <v>81115342</v>
      </c>
      <c r="H120" s="9" t="s">
        <v>25</v>
      </c>
      <c r="I120" s="9" t="s">
        <v>112</v>
      </c>
      <c r="J120" s="9" t="s">
        <v>113</v>
      </c>
      <c r="K120" s="9" t="s">
        <v>27</v>
      </c>
      <c r="L120" s="9" t="e">
        <f>VLOOKUP(J120,#REF!,2,FALSE)</f>
        <v>#REF!</v>
      </c>
      <c r="N120" s="11" t="s">
        <v>28</v>
      </c>
      <c r="P120" s="13" t="s">
        <v>29</v>
      </c>
      <c r="Q120" s="13" t="s">
        <v>28</v>
      </c>
      <c r="R120" s="14">
        <v>203168.96</v>
      </c>
      <c r="S120" s="14" t="e">
        <f>VLOOKUP(I120,#REF!,2,FALSE)</f>
        <v>#REF!</v>
      </c>
      <c r="T120" s="14" t="e">
        <f t="shared" si="1"/>
        <v>#REF!</v>
      </c>
    </row>
    <row r="121" spans="1:20" s="16" customFormat="1" x14ac:dyDescent="0.45">
      <c r="A121" s="9" t="s">
        <v>19</v>
      </c>
      <c r="B121" s="9" t="s">
        <v>370</v>
      </c>
      <c r="C121" s="9" t="s">
        <v>152</v>
      </c>
      <c r="D121" s="9" t="s">
        <v>153</v>
      </c>
      <c r="E121" s="9" t="s">
        <v>371</v>
      </c>
      <c r="F121" s="9" t="s">
        <v>372</v>
      </c>
      <c r="G121" s="9">
        <v>6802590002</v>
      </c>
      <c r="H121" s="9" t="s">
        <v>156</v>
      </c>
      <c r="I121" s="9" t="s">
        <v>157</v>
      </c>
      <c r="J121" s="9" t="s">
        <v>152</v>
      </c>
      <c r="K121" s="9" t="s">
        <v>27</v>
      </c>
      <c r="L121" s="9" t="e">
        <f>VLOOKUP(J121,#REF!,2,FALSE)</f>
        <v>#REF!</v>
      </c>
      <c r="M121" s="17" t="s">
        <v>61</v>
      </c>
      <c r="N121" s="11" t="s">
        <v>29</v>
      </c>
      <c r="O121" s="12" t="s">
        <v>29</v>
      </c>
      <c r="P121" s="12" t="s">
        <v>29</v>
      </c>
      <c r="Q121" s="12" t="s">
        <v>28</v>
      </c>
      <c r="R121" s="14">
        <v>4075039</v>
      </c>
      <c r="S121" s="14" t="e">
        <f>VLOOKUP(I121,#REF!,2,FALSE)</f>
        <v>#REF!</v>
      </c>
      <c r="T121" s="14" t="e">
        <f t="shared" si="1"/>
        <v>#REF!</v>
      </c>
    </row>
    <row r="122" spans="1:20" x14ac:dyDescent="0.45">
      <c r="A122" s="9" t="s">
        <v>19</v>
      </c>
      <c r="B122" s="9" t="s">
        <v>373</v>
      </c>
      <c r="C122" s="9" t="s">
        <v>374</v>
      </c>
      <c r="D122" s="9" t="s">
        <v>375</v>
      </c>
      <c r="E122" s="9" t="s">
        <v>376</v>
      </c>
      <c r="F122" s="9" t="s">
        <v>377</v>
      </c>
      <c r="G122" s="9">
        <v>520849009</v>
      </c>
      <c r="H122" s="9" t="s">
        <v>25</v>
      </c>
      <c r="I122" s="9" t="s">
        <v>378</v>
      </c>
      <c r="J122" s="9" t="s">
        <v>374</v>
      </c>
      <c r="K122" s="9" t="s">
        <v>27</v>
      </c>
      <c r="L122" s="9" t="e">
        <f>VLOOKUP(J122,#REF!,2,FALSE)</f>
        <v>#REF!</v>
      </c>
      <c r="N122" s="11" t="s">
        <v>28</v>
      </c>
      <c r="P122" s="13" t="s">
        <v>29</v>
      </c>
      <c r="Q122" s="13" t="s">
        <v>28</v>
      </c>
      <c r="R122" s="14">
        <v>117642.91</v>
      </c>
      <c r="S122" s="14" t="e">
        <f>VLOOKUP(I122,#REF!,2,FALSE)</f>
        <v>#REF!</v>
      </c>
      <c r="T122" s="14" t="e">
        <f t="shared" si="1"/>
        <v>#REF!</v>
      </c>
    </row>
    <row r="123" spans="1:20" x14ac:dyDescent="0.45">
      <c r="A123" s="9" t="s">
        <v>19</v>
      </c>
      <c r="B123" s="9" t="s">
        <v>373</v>
      </c>
      <c r="C123" s="9" t="s">
        <v>374</v>
      </c>
      <c r="D123" s="9" t="s">
        <v>375</v>
      </c>
      <c r="E123" s="9" t="s">
        <v>379</v>
      </c>
      <c r="F123" s="9" t="s">
        <v>380</v>
      </c>
      <c r="G123" s="9">
        <v>520849017</v>
      </c>
      <c r="H123" s="9" t="s">
        <v>121</v>
      </c>
      <c r="I123" s="9" t="s">
        <v>32</v>
      </c>
      <c r="J123" s="9" t="s">
        <v>374</v>
      </c>
      <c r="K123" s="9" t="s">
        <v>27</v>
      </c>
      <c r="L123" s="9" t="e">
        <f>VLOOKUP(J123,#REF!,2,FALSE)</f>
        <v>#REF!</v>
      </c>
      <c r="N123" s="11" t="s">
        <v>28</v>
      </c>
      <c r="P123" s="13" t="s">
        <v>29</v>
      </c>
      <c r="Q123" s="13" t="s">
        <v>28</v>
      </c>
      <c r="R123" s="14">
        <v>0</v>
      </c>
      <c r="S123" s="14" t="e">
        <f>VLOOKUP(I123,#REF!,2,FALSE)</f>
        <v>#REF!</v>
      </c>
      <c r="T123" s="14" t="e">
        <f t="shared" si="1"/>
        <v>#REF!</v>
      </c>
    </row>
    <row r="124" spans="1:20" x14ac:dyDescent="0.45">
      <c r="A124" s="9" t="s">
        <v>19</v>
      </c>
      <c r="B124" s="9" t="s">
        <v>381</v>
      </c>
      <c r="C124" s="9" t="s">
        <v>382</v>
      </c>
      <c r="D124" s="9" t="s">
        <v>383</v>
      </c>
      <c r="E124" s="9" t="s">
        <v>384</v>
      </c>
      <c r="F124" s="9" t="s">
        <v>385</v>
      </c>
      <c r="G124" s="9">
        <v>5176044663090</v>
      </c>
      <c r="H124" s="9" t="s">
        <v>25</v>
      </c>
      <c r="I124" s="9" t="s">
        <v>98</v>
      </c>
      <c r="J124" s="9" t="s">
        <v>386</v>
      </c>
      <c r="K124" s="9" t="s">
        <v>27</v>
      </c>
      <c r="L124" s="9" t="e">
        <f>VLOOKUP(J124,#REF!,2,FALSE)</f>
        <v>#REF!</v>
      </c>
      <c r="N124" s="11" t="s">
        <v>28</v>
      </c>
      <c r="P124" s="13" t="s">
        <v>29</v>
      </c>
      <c r="Q124" s="13" t="s">
        <v>28</v>
      </c>
      <c r="R124" s="14">
        <v>187152.33</v>
      </c>
      <c r="S124" s="14" t="e">
        <f>VLOOKUP(I124,#REF!,2,FALSE)</f>
        <v>#REF!</v>
      </c>
      <c r="T124" s="14" t="e">
        <f t="shared" si="1"/>
        <v>#REF!</v>
      </c>
    </row>
    <row r="125" spans="1:20" x14ac:dyDescent="0.45">
      <c r="A125" s="9" t="s">
        <v>19</v>
      </c>
      <c r="B125" s="9" t="s">
        <v>387</v>
      </c>
      <c r="C125" s="9" t="s">
        <v>314</v>
      </c>
      <c r="D125" s="9" t="s">
        <v>320</v>
      </c>
      <c r="E125" s="9" t="s">
        <v>388</v>
      </c>
      <c r="F125" s="9" t="s">
        <v>389</v>
      </c>
      <c r="G125" s="9">
        <v>11801615018</v>
      </c>
      <c r="H125" s="9" t="s">
        <v>25</v>
      </c>
      <c r="I125" s="9" t="s">
        <v>318</v>
      </c>
      <c r="J125" s="9" t="s">
        <v>314</v>
      </c>
      <c r="K125" s="9" t="s">
        <v>60</v>
      </c>
      <c r="L125" s="9" t="e">
        <f>VLOOKUP(J125,#REF!,2,FALSE)</f>
        <v>#REF!</v>
      </c>
      <c r="M125" s="11" t="s">
        <v>170</v>
      </c>
      <c r="N125" s="12" t="s">
        <v>28</v>
      </c>
      <c r="O125" s="13" t="s">
        <v>29</v>
      </c>
      <c r="P125" s="13" t="s">
        <v>29</v>
      </c>
      <c r="Q125" s="13" t="s">
        <v>29</v>
      </c>
      <c r="R125" s="14">
        <v>873439.13</v>
      </c>
      <c r="S125" s="14" t="e">
        <f>VLOOKUP(I125,#REF!,2,FALSE)</f>
        <v>#REF!</v>
      </c>
      <c r="T125" s="14" t="e">
        <f t="shared" si="1"/>
        <v>#REF!</v>
      </c>
    </row>
    <row r="126" spans="1:20" x14ac:dyDescent="0.45">
      <c r="A126" s="9" t="s">
        <v>19</v>
      </c>
      <c r="B126" s="9" t="s">
        <v>390</v>
      </c>
      <c r="C126" s="9" t="s">
        <v>243</v>
      </c>
      <c r="D126" s="9" t="s">
        <v>391</v>
      </c>
      <c r="E126" s="9" t="s">
        <v>392</v>
      </c>
      <c r="F126" s="9" t="s">
        <v>393</v>
      </c>
      <c r="G126" s="9">
        <v>1005335201</v>
      </c>
      <c r="H126" s="9" t="s">
        <v>25</v>
      </c>
      <c r="I126" s="9" t="s">
        <v>247</v>
      </c>
      <c r="J126" s="9" t="s">
        <v>243</v>
      </c>
      <c r="K126" s="9" t="s">
        <v>27</v>
      </c>
      <c r="L126" s="9" t="e">
        <f>VLOOKUP(J126,#REF!,2,FALSE)</f>
        <v>#REF!</v>
      </c>
      <c r="N126" s="11" t="s">
        <v>28</v>
      </c>
      <c r="P126" s="13" t="s">
        <v>28</v>
      </c>
      <c r="Q126" s="13" t="s">
        <v>28</v>
      </c>
      <c r="R126" s="14" t="e">
        <v>#N/A</v>
      </c>
      <c r="S126" s="14" t="e">
        <f>VLOOKUP(I126,#REF!,2,FALSE)</f>
        <v>#REF!</v>
      </c>
      <c r="T126" s="14" t="e">
        <f t="shared" si="1"/>
        <v>#N/A</v>
      </c>
    </row>
    <row r="127" spans="1:20" x14ac:dyDescent="0.45">
      <c r="A127" s="9" t="s">
        <v>19</v>
      </c>
      <c r="B127" s="9" t="s">
        <v>394</v>
      </c>
      <c r="C127" s="9" t="s">
        <v>395</v>
      </c>
      <c r="D127" s="9" t="s">
        <v>62</v>
      </c>
      <c r="E127" s="9" t="s">
        <v>529</v>
      </c>
      <c r="F127" s="9" t="s">
        <v>396</v>
      </c>
      <c r="G127" s="9">
        <v>36389599</v>
      </c>
      <c r="H127" s="9" t="s">
        <v>327</v>
      </c>
      <c r="I127" s="9" t="s">
        <v>32</v>
      </c>
      <c r="J127" s="9" t="s">
        <v>65</v>
      </c>
      <c r="K127" s="9" t="s">
        <v>60</v>
      </c>
      <c r="L127" s="9" t="e">
        <f>VLOOKUP(J127,#REF!,2,FALSE)</f>
        <v>#REF!</v>
      </c>
      <c r="M127" s="11" t="s">
        <v>61</v>
      </c>
      <c r="N127" s="12" t="s">
        <v>28</v>
      </c>
      <c r="O127" s="13" t="s">
        <v>29</v>
      </c>
      <c r="P127" s="13" t="s">
        <v>29</v>
      </c>
      <c r="Q127" s="13" t="s">
        <v>29</v>
      </c>
      <c r="R127" s="14">
        <v>250000</v>
      </c>
      <c r="S127" s="14" t="e">
        <f>VLOOKUP(I127,#REF!,2,FALSE)</f>
        <v>#REF!</v>
      </c>
      <c r="T127" s="14" t="e">
        <f t="shared" si="1"/>
        <v>#REF!</v>
      </c>
    </row>
    <row r="128" spans="1:20" x14ac:dyDescent="0.45">
      <c r="A128" s="9" t="s">
        <v>19</v>
      </c>
      <c r="B128" s="9" t="s">
        <v>394</v>
      </c>
      <c r="C128" s="9" t="s">
        <v>395</v>
      </c>
      <c r="D128" s="9" t="s">
        <v>522</v>
      </c>
      <c r="E128" s="9" t="s">
        <v>397</v>
      </c>
      <c r="F128" s="9" t="s">
        <v>398</v>
      </c>
      <c r="G128" s="9">
        <v>49268022</v>
      </c>
      <c r="H128" s="9" t="s">
        <v>25</v>
      </c>
      <c r="I128" s="9" t="s">
        <v>399</v>
      </c>
      <c r="J128" s="9" t="s">
        <v>395</v>
      </c>
      <c r="K128" s="9" t="s">
        <v>60</v>
      </c>
      <c r="L128" s="9" t="e">
        <f>VLOOKUP(J128,#REF!,2,FALSE)</f>
        <v>#REF!</v>
      </c>
      <c r="M128" s="11" t="s">
        <v>61</v>
      </c>
      <c r="N128" s="12" t="s">
        <v>28</v>
      </c>
      <c r="O128" s="13" t="s">
        <v>29</v>
      </c>
      <c r="P128" s="13" t="s">
        <v>29</v>
      </c>
      <c r="Q128" s="13" t="s">
        <v>29</v>
      </c>
      <c r="R128" s="14">
        <v>0</v>
      </c>
      <c r="S128" s="14" t="e">
        <f>VLOOKUP(I128,#REF!,2,FALSE)</f>
        <v>#REF!</v>
      </c>
      <c r="T128" s="14" t="e">
        <f t="shared" si="1"/>
        <v>#REF!</v>
      </c>
    </row>
    <row r="129" spans="1:20" x14ac:dyDescent="0.45">
      <c r="A129" s="9" t="s">
        <v>19</v>
      </c>
      <c r="B129" s="9" t="s">
        <v>394</v>
      </c>
      <c r="C129" s="9" t="s">
        <v>395</v>
      </c>
      <c r="D129" s="9" t="s">
        <v>400</v>
      </c>
      <c r="E129" s="9" t="s">
        <v>401</v>
      </c>
      <c r="F129" s="9" t="s">
        <v>402</v>
      </c>
      <c r="G129" s="9">
        <v>70567105</v>
      </c>
      <c r="H129" s="9" t="s">
        <v>25</v>
      </c>
      <c r="I129" s="9" t="s">
        <v>399</v>
      </c>
      <c r="J129" s="9" t="s">
        <v>395</v>
      </c>
      <c r="K129" s="9" t="s">
        <v>60</v>
      </c>
      <c r="L129" s="9" t="e">
        <f>VLOOKUP(J129,#REF!,2,FALSE)</f>
        <v>#REF!</v>
      </c>
      <c r="M129" s="11" t="s">
        <v>61</v>
      </c>
      <c r="N129" s="12" t="s">
        <v>28</v>
      </c>
      <c r="O129" s="13" t="s">
        <v>29</v>
      </c>
      <c r="P129" s="13" t="s">
        <v>29</v>
      </c>
      <c r="Q129" s="13" t="s">
        <v>29</v>
      </c>
      <c r="R129" s="14">
        <v>1529394707.3900001</v>
      </c>
      <c r="S129" s="14" t="e">
        <f>VLOOKUP(I129,#REF!,2,FALSE)</f>
        <v>#REF!</v>
      </c>
      <c r="T129" s="14" t="e">
        <f t="shared" si="1"/>
        <v>#REF!</v>
      </c>
    </row>
    <row r="130" spans="1:20" x14ac:dyDescent="0.45">
      <c r="A130" s="9" t="s">
        <v>19</v>
      </c>
      <c r="B130" s="9" t="s">
        <v>403</v>
      </c>
      <c r="C130" s="9" t="s">
        <v>57</v>
      </c>
      <c r="D130" s="9" t="s">
        <v>521</v>
      </c>
      <c r="E130" s="9" t="s">
        <v>404</v>
      </c>
      <c r="F130" s="9" t="s">
        <v>405</v>
      </c>
      <c r="G130" s="9" t="s">
        <v>405</v>
      </c>
      <c r="H130" s="9" t="s">
        <v>25</v>
      </c>
      <c r="I130" s="9" t="s">
        <v>59</v>
      </c>
      <c r="J130" s="9" t="s">
        <v>57</v>
      </c>
      <c r="K130" s="9" t="s">
        <v>60</v>
      </c>
      <c r="L130" s="9" t="e">
        <f>VLOOKUP(J130,#REF!,2,FALSE)</f>
        <v>#REF!</v>
      </c>
      <c r="M130" s="11" t="s">
        <v>61</v>
      </c>
      <c r="N130" s="12" t="s">
        <v>28</v>
      </c>
      <c r="O130" s="13" t="s">
        <v>29</v>
      </c>
      <c r="P130" s="13" t="s">
        <v>29</v>
      </c>
      <c r="Q130" s="13" t="s">
        <v>29</v>
      </c>
      <c r="R130" s="14">
        <v>52.82</v>
      </c>
      <c r="S130" s="14" t="e">
        <f>VLOOKUP(I130,#REF!,2,FALSE)</f>
        <v>#REF!</v>
      </c>
      <c r="T130" s="14" t="e">
        <f t="shared" si="1"/>
        <v>#REF!</v>
      </c>
    </row>
    <row r="131" spans="1:20" x14ac:dyDescent="0.45">
      <c r="A131" s="9" t="s">
        <v>19</v>
      </c>
      <c r="B131" s="9" t="s">
        <v>403</v>
      </c>
      <c r="C131" s="9" t="s">
        <v>406</v>
      </c>
      <c r="D131" s="9" t="s">
        <v>407</v>
      </c>
      <c r="E131" s="9" t="s">
        <v>530</v>
      </c>
      <c r="F131" s="9" t="s">
        <v>408</v>
      </c>
      <c r="G131" s="9">
        <v>5044276005</v>
      </c>
      <c r="H131" s="9" t="s">
        <v>25</v>
      </c>
      <c r="I131" s="9" t="s">
        <v>409</v>
      </c>
      <c r="J131" s="9" t="s">
        <v>410</v>
      </c>
      <c r="K131" s="9" t="s">
        <v>27</v>
      </c>
      <c r="L131" s="9" t="e">
        <f>VLOOKUP(J131,#REF!,2,FALSE)</f>
        <v>#REF!</v>
      </c>
      <c r="N131" s="11" t="s">
        <v>28</v>
      </c>
      <c r="P131" s="13" t="s">
        <v>29</v>
      </c>
      <c r="Q131" s="13" t="s">
        <v>28</v>
      </c>
      <c r="R131" s="14">
        <v>9303403</v>
      </c>
      <c r="S131" s="14" t="e">
        <f>VLOOKUP(I131,#REF!,2,FALSE)</f>
        <v>#REF!</v>
      </c>
      <c r="T131" s="14" t="e">
        <f t="shared" ref="T131:T174" si="2">R131/S131</f>
        <v>#REF!</v>
      </c>
    </row>
    <row r="132" spans="1:20" x14ac:dyDescent="0.45">
      <c r="A132" s="9" t="s">
        <v>19</v>
      </c>
      <c r="B132" s="9" t="s">
        <v>403</v>
      </c>
      <c r="C132" s="9" t="s">
        <v>406</v>
      </c>
      <c r="D132" s="9" t="s">
        <v>407</v>
      </c>
      <c r="E132" s="9" t="s">
        <v>531</v>
      </c>
      <c r="F132" s="9" t="s">
        <v>411</v>
      </c>
      <c r="G132" s="9">
        <v>5044276013</v>
      </c>
      <c r="H132" s="9" t="s">
        <v>25</v>
      </c>
      <c r="I132" s="9" t="s">
        <v>32</v>
      </c>
      <c r="J132" s="9" t="s">
        <v>410</v>
      </c>
      <c r="K132" s="9" t="s">
        <v>27</v>
      </c>
      <c r="L132" s="9" t="e">
        <f>VLOOKUP(J132,#REF!,2,FALSE)</f>
        <v>#REF!</v>
      </c>
      <c r="N132" s="11" t="s">
        <v>28</v>
      </c>
      <c r="P132" s="13" t="s">
        <v>29</v>
      </c>
      <c r="Q132" s="13" t="s">
        <v>28</v>
      </c>
      <c r="R132" s="14">
        <v>21088.74</v>
      </c>
      <c r="S132" s="14" t="e">
        <f>VLOOKUP(I132,#REF!,2,FALSE)</f>
        <v>#REF!</v>
      </c>
      <c r="T132" s="14" t="e">
        <f t="shared" si="2"/>
        <v>#REF!</v>
      </c>
    </row>
    <row r="133" spans="1:20" x14ac:dyDescent="0.45">
      <c r="A133" s="9" t="s">
        <v>19</v>
      </c>
      <c r="B133" s="9" t="s">
        <v>403</v>
      </c>
      <c r="C133" s="9" t="s">
        <v>406</v>
      </c>
      <c r="D133" s="9" t="s">
        <v>109</v>
      </c>
      <c r="E133" s="9" t="s">
        <v>412</v>
      </c>
      <c r="F133" s="9" t="s">
        <v>413</v>
      </c>
      <c r="G133" s="9">
        <v>63033644039</v>
      </c>
      <c r="H133" s="9" t="s">
        <v>25</v>
      </c>
      <c r="I133" s="9" t="s">
        <v>112</v>
      </c>
      <c r="J133" s="9" t="s">
        <v>113</v>
      </c>
      <c r="K133" s="9" t="s">
        <v>27</v>
      </c>
      <c r="L133" s="9" t="e">
        <f>VLOOKUP(J133,#REF!,2,FALSE)</f>
        <v>#REF!</v>
      </c>
      <c r="N133" s="11" t="s">
        <v>28</v>
      </c>
      <c r="P133" s="13" t="s">
        <v>29</v>
      </c>
      <c r="Q133" s="13" t="s">
        <v>28</v>
      </c>
      <c r="R133" s="14">
        <v>30349.65</v>
      </c>
      <c r="S133" s="14" t="e">
        <f>VLOOKUP(I133,#REF!,2,FALSE)</f>
        <v>#REF!</v>
      </c>
      <c r="T133" s="14" t="e">
        <f t="shared" si="2"/>
        <v>#REF!</v>
      </c>
    </row>
    <row r="134" spans="1:20" x14ac:dyDescent="0.45">
      <c r="A134" s="9" t="s">
        <v>19</v>
      </c>
      <c r="B134" s="9" t="s">
        <v>403</v>
      </c>
      <c r="C134" s="9" t="s">
        <v>406</v>
      </c>
      <c r="D134" s="9" t="s">
        <v>414</v>
      </c>
      <c r="E134" s="9" t="s">
        <v>415</v>
      </c>
      <c r="F134" s="9" t="s">
        <v>416</v>
      </c>
      <c r="G134" s="9">
        <v>12674869</v>
      </c>
      <c r="H134" s="9" t="s">
        <v>25</v>
      </c>
      <c r="I134" s="9" t="s">
        <v>417</v>
      </c>
      <c r="J134" s="9" t="s">
        <v>406</v>
      </c>
      <c r="K134" s="9" t="s">
        <v>27</v>
      </c>
      <c r="L134" s="9" t="e">
        <f>VLOOKUP(J134,#REF!,2,FALSE)</f>
        <v>#REF!</v>
      </c>
      <c r="N134" s="11" t="s">
        <v>28</v>
      </c>
      <c r="P134" s="13" t="s">
        <v>29</v>
      </c>
      <c r="Q134" s="13" t="s">
        <v>28</v>
      </c>
      <c r="R134" s="14">
        <v>6988.15</v>
      </c>
      <c r="S134" s="14" t="e">
        <f>VLOOKUP(I134,#REF!,2,FALSE)</f>
        <v>#REF!</v>
      </c>
      <c r="T134" s="14" t="e">
        <f t="shared" si="2"/>
        <v>#REF!</v>
      </c>
    </row>
    <row r="135" spans="1:20" x14ac:dyDescent="0.45">
      <c r="A135" s="9" t="s">
        <v>19</v>
      </c>
      <c r="B135" s="9" t="s">
        <v>403</v>
      </c>
      <c r="C135" s="9" t="s">
        <v>406</v>
      </c>
      <c r="D135" s="9" t="s">
        <v>109</v>
      </c>
      <c r="E135" s="9" t="s">
        <v>418</v>
      </c>
      <c r="F135" s="9" t="s">
        <v>419</v>
      </c>
      <c r="G135" s="9">
        <v>63035116044</v>
      </c>
      <c r="H135" s="9" t="s">
        <v>121</v>
      </c>
      <c r="I135" s="9" t="s">
        <v>98</v>
      </c>
      <c r="J135" s="9" t="s">
        <v>113</v>
      </c>
      <c r="K135" s="9" t="s">
        <v>27</v>
      </c>
      <c r="L135" s="9" t="e">
        <f>VLOOKUP(J135,#REF!,2,FALSE)</f>
        <v>#REF!</v>
      </c>
      <c r="N135" s="11" t="s">
        <v>28</v>
      </c>
      <c r="P135" s="13" t="s">
        <v>29</v>
      </c>
      <c r="Q135" s="13" t="s">
        <v>28</v>
      </c>
      <c r="R135" s="14">
        <v>73012.47</v>
      </c>
      <c r="S135" s="14" t="e">
        <f>VLOOKUP(I135,#REF!,2,FALSE)</f>
        <v>#REF!</v>
      </c>
      <c r="T135" s="14" t="e">
        <f t="shared" si="2"/>
        <v>#REF!</v>
      </c>
    </row>
    <row r="136" spans="1:20" x14ac:dyDescent="0.45">
      <c r="A136" s="9" t="s">
        <v>19</v>
      </c>
      <c r="B136" s="9" t="s">
        <v>403</v>
      </c>
      <c r="C136" s="9" t="s">
        <v>406</v>
      </c>
      <c r="D136" s="9" t="s">
        <v>109</v>
      </c>
      <c r="E136" s="9" t="s">
        <v>420</v>
      </c>
      <c r="F136" s="9" t="s">
        <v>421</v>
      </c>
      <c r="G136" s="9">
        <v>63035116549</v>
      </c>
      <c r="H136" s="9" t="s">
        <v>121</v>
      </c>
      <c r="I136" s="9" t="s">
        <v>32</v>
      </c>
      <c r="J136" s="9" t="s">
        <v>113</v>
      </c>
      <c r="K136" s="9" t="s">
        <v>27</v>
      </c>
      <c r="L136" s="9" t="e">
        <f>VLOOKUP(J136,#REF!,2,FALSE)</f>
        <v>#REF!</v>
      </c>
      <c r="N136" s="11" t="s">
        <v>28</v>
      </c>
      <c r="P136" s="13" t="s">
        <v>29</v>
      </c>
      <c r="Q136" s="13" t="s">
        <v>28</v>
      </c>
      <c r="R136" s="14">
        <v>374620.07</v>
      </c>
      <c r="S136" s="14" t="e">
        <f>VLOOKUP(I136,#REF!,2,FALSE)</f>
        <v>#REF!</v>
      </c>
      <c r="T136" s="14" t="e">
        <f t="shared" si="2"/>
        <v>#REF!</v>
      </c>
    </row>
    <row r="137" spans="1:20" x14ac:dyDescent="0.45">
      <c r="A137" s="9" t="s">
        <v>19</v>
      </c>
      <c r="B137" s="9" t="s">
        <v>422</v>
      </c>
      <c r="C137" s="9" t="s">
        <v>85</v>
      </c>
      <c r="D137" s="9" t="s">
        <v>86</v>
      </c>
      <c r="E137" s="9" t="s">
        <v>423</v>
      </c>
      <c r="F137" s="9" t="s">
        <v>424</v>
      </c>
      <c r="G137" s="9">
        <v>7.5010078814000005E+19</v>
      </c>
      <c r="H137" s="9" t="s">
        <v>187</v>
      </c>
      <c r="I137" s="9" t="s">
        <v>32</v>
      </c>
      <c r="J137" s="9" t="s">
        <v>85</v>
      </c>
      <c r="K137" s="9" t="s">
        <v>27</v>
      </c>
      <c r="L137" s="9" t="e">
        <f>VLOOKUP(J137,#REF!,2,FALSE)</f>
        <v>#REF!</v>
      </c>
      <c r="N137" s="11" t="s">
        <v>28</v>
      </c>
      <c r="P137" s="13" t="s">
        <v>29</v>
      </c>
      <c r="Q137" s="13" t="s">
        <v>28</v>
      </c>
      <c r="R137" s="14">
        <v>20065.82</v>
      </c>
      <c r="S137" s="14" t="e">
        <f>VLOOKUP(I137,#REF!,2,FALSE)</f>
        <v>#REF!</v>
      </c>
      <c r="T137" s="14" t="e">
        <f t="shared" si="2"/>
        <v>#REF!</v>
      </c>
    </row>
    <row r="138" spans="1:20" x14ac:dyDescent="0.45">
      <c r="A138" s="9" t="s">
        <v>19</v>
      </c>
      <c r="B138" s="9" t="s">
        <v>422</v>
      </c>
      <c r="C138" s="9" t="s">
        <v>85</v>
      </c>
      <c r="D138" s="9" t="s">
        <v>86</v>
      </c>
      <c r="E138" s="9" t="s">
        <v>425</v>
      </c>
      <c r="F138" s="9" t="s">
        <v>426</v>
      </c>
      <c r="G138" s="9">
        <v>7.5010078801699996E+19</v>
      </c>
      <c r="H138" s="9" t="s">
        <v>25</v>
      </c>
      <c r="I138" s="9" t="s">
        <v>89</v>
      </c>
      <c r="J138" s="9" t="s">
        <v>85</v>
      </c>
      <c r="K138" s="9" t="s">
        <v>27</v>
      </c>
      <c r="L138" s="9" t="e">
        <f>VLOOKUP(J138,#REF!,2,FALSE)</f>
        <v>#REF!</v>
      </c>
      <c r="N138" s="11" t="s">
        <v>28</v>
      </c>
      <c r="P138" s="13" t="s">
        <v>29</v>
      </c>
      <c r="Q138" s="13" t="s">
        <v>28</v>
      </c>
      <c r="R138" s="14">
        <v>31745.75</v>
      </c>
      <c r="S138" s="14" t="e">
        <f>VLOOKUP(I138,#REF!,2,FALSE)</f>
        <v>#REF!</v>
      </c>
      <c r="T138" s="14" t="e">
        <f t="shared" si="2"/>
        <v>#REF!</v>
      </c>
    </row>
    <row r="139" spans="1:20" x14ac:dyDescent="0.45">
      <c r="A139" s="9" t="s">
        <v>19</v>
      </c>
      <c r="B139" s="9" t="s">
        <v>422</v>
      </c>
      <c r="C139" s="9" t="s">
        <v>85</v>
      </c>
      <c r="D139" s="9" t="s">
        <v>86</v>
      </c>
      <c r="E139" s="9" t="s">
        <v>427</v>
      </c>
      <c r="F139" s="9" t="s">
        <v>428</v>
      </c>
      <c r="G139" s="9">
        <v>7.5010078814400004E+19</v>
      </c>
      <c r="H139" s="9" t="s">
        <v>25</v>
      </c>
      <c r="I139" s="9" t="s">
        <v>32</v>
      </c>
      <c r="J139" s="9" t="s">
        <v>85</v>
      </c>
      <c r="K139" s="9" t="s">
        <v>27</v>
      </c>
      <c r="L139" s="9" t="e">
        <f>VLOOKUP(J139,#REF!,2,FALSE)</f>
        <v>#REF!</v>
      </c>
      <c r="N139" s="11" t="s">
        <v>28</v>
      </c>
      <c r="P139" s="13" t="s">
        <v>29</v>
      </c>
      <c r="Q139" s="13" t="s">
        <v>28</v>
      </c>
      <c r="R139" s="14">
        <v>0.06</v>
      </c>
      <c r="S139" s="14" t="e">
        <f>VLOOKUP(I139,#REF!,2,FALSE)</f>
        <v>#REF!</v>
      </c>
      <c r="T139" s="14" t="e">
        <f t="shared" si="2"/>
        <v>#REF!</v>
      </c>
    </row>
    <row r="140" spans="1:20" x14ac:dyDescent="0.45">
      <c r="A140" s="9" t="s">
        <v>19</v>
      </c>
      <c r="B140" s="9" t="s">
        <v>429</v>
      </c>
      <c r="C140" s="9" t="s">
        <v>430</v>
      </c>
      <c r="D140" s="9" t="s">
        <v>431</v>
      </c>
      <c r="E140" s="9" t="s">
        <v>432</v>
      </c>
      <c r="F140" s="9" t="s">
        <v>433</v>
      </c>
      <c r="G140" s="9">
        <v>104445003</v>
      </c>
      <c r="H140" s="9" t="s">
        <v>25</v>
      </c>
      <c r="I140" s="9" t="s">
        <v>434</v>
      </c>
      <c r="J140" s="9" t="s">
        <v>430</v>
      </c>
      <c r="K140" s="9" t="s">
        <v>27</v>
      </c>
      <c r="L140" s="9" t="e">
        <f>VLOOKUP(J140,#REF!,2,FALSE)</f>
        <v>#REF!</v>
      </c>
      <c r="N140" s="11" t="s">
        <v>28</v>
      </c>
      <c r="P140" s="13" t="s">
        <v>29</v>
      </c>
      <c r="Q140" s="13" t="s">
        <v>28</v>
      </c>
      <c r="R140" s="14">
        <v>5892454.9500000002</v>
      </c>
      <c r="S140" s="14" t="e">
        <f>VLOOKUP(I140,#REF!,2,FALSE)</f>
        <v>#REF!</v>
      </c>
      <c r="T140" s="14" t="e">
        <f t="shared" si="2"/>
        <v>#REF!</v>
      </c>
    </row>
    <row r="141" spans="1:20" x14ac:dyDescent="0.45">
      <c r="A141" s="9" t="s">
        <v>19</v>
      </c>
      <c r="B141" s="9" t="s">
        <v>435</v>
      </c>
      <c r="C141" s="9" t="s">
        <v>382</v>
      </c>
      <c r="D141" s="9" t="s">
        <v>62</v>
      </c>
      <c r="E141" s="9" t="s">
        <v>436</v>
      </c>
      <c r="F141" s="9" t="s">
        <v>437</v>
      </c>
      <c r="G141" s="9">
        <v>31365045</v>
      </c>
      <c r="H141" s="9" t="s">
        <v>237</v>
      </c>
      <c r="I141" s="9" t="s">
        <v>32</v>
      </c>
      <c r="J141" s="9" t="s">
        <v>65</v>
      </c>
      <c r="K141" s="9" t="s">
        <v>27</v>
      </c>
      <c r="L141" s="9" t="e">
        <f>VLOOKUP(J141,#REF!,2,FALSE)</f>
        <v>#REF!</v>
      </c>
      <c r="N141" s="11" t="s">
        <v>28</v>
      </c>
      <c r="P141" s="13" t="s">
        <v>29</v>
      </c>
      <c r="Q141" s="13" t="s">
        <v>28</v>
      </c>
      <c r="R141" s="14">
        <v>0</v>
      </c>
      <c r="S141" s="14" t="e">
        <f>VLOOKUP(I141,#REF!,2,FALSE)</f>
        <v>#REF!</v>
      </c>
      <c r="T141" s="14" t="e">
        <f t="shared" si="2"/>
        <v>#REF!</v>
      </c>
    </row>
    <row r="142" spans="1:20" x14ac:dyDescent="0.45">
      <c r="A142" s="9" t="s">
        <v>19</v>
      </c>
      <c r="B142" s="9" t="s">
        <v>435</v>
      </c>
      <c r="C142" s="9" t="s">
        <v>382</v>
      </c>
      <c r="D142" s="9" t="s">
        <v>438</v>
      </c>
      <c r="E142" s="9" t="s">
        <v>439</v>
      </c>
      <c r="F142" s="9" t="s">
        <v>440</v>
      </c>
      <c r="G142" s="9">
        <v>29120218</v>
      </c>
      <c r="H142" s="9" t="s">
        <v>237</v>
      </c>
      <c r="I142" s="9" t="s">
        <v>98</v>
      </c>
      <c r="J142" s="9" t="s">
        <v>441</v>
      </c>
      <c r="K142" s="9" t="s">
        <v>27</v>
      </c>
      <c r="L142" s="9" t="e">
        <f>VLOOKUP(J142,#REF!,2,FALSE)</f>
        <v>#REF!</v>
      </c>
      <c r="N142" s="11" t="s">
        <v>28</v>
      </c>
      <c r="P142" s="13" t="s">
        <v>29</v>
      </c>
      <c r="Q142" s="13" t="s">
        <v>28</v>
      </c>
      <c r="R142" s="14">
        <v>1348.46</v>
      </c>
      <c r="S142" s="14" t="e">
        <f>VLOOKUP(I142,#REF!,2,FALSE)</f>
        <v>#REF!</v>
      </c>
      <c r="T142" s="14" t="e">
        <f t="shared" si="2"/>
        <v>#REF!</v>
      </c>
    </row>
    <row r="143" spans="1:20" x14ac:dyDescent="0.45">
      <c r="A143" s="9" t="s">
        <v>19</v>
      </c>
      <c r="B143" s="9" t="s">
        <v>435</v>
      </c>
      <c r="C143" s="9" t="s">
        <v>382</v>
      </c>
      <c r="D143" s="9" t="s">
        <v>442</v>
      </c>
      <c r="E143" s="9" t="s">
        <v>439</v>
      </c>
      <c r="F143" s="9" t="s">
        <v>443</v>
      </c>
      <c r="G143" s="9">
        <v>8900478462</v>
      </c>
      <c r="H143" s="9" t="s">
        <v>25</v>
      </c>
      <c r="I143" s="9" t="s">
        <v>32</v>
      </c>
      <c r="J143" s="9" t="s">
        <v>65</v>
      </c>
      <c r="K143" s="9" t="s">
        <v>27</v>
      </c>
      <c r="L143" s="9" t="e">
        <f>VLOOKUP(J143,#REF!,2,FALSE)</f>
        <v>#REF!</v>
      </c>
      <c r="N143" s="11" t="s">
        <v>28</v>
      </c>
      <c r="P143" s="13" t="s">
        <v>29</v>
      </c>
      <c r="Q143" s="13" t="s">
        <v>28</v>
      </c>
      <c r="R143" s="14">
        <v>100</v>
      </c>
      <c r="S143" s="14" t="e">
        <f>VLOOKUP(I143,#REF!,2,FALSE)</f>
        <v>#REF!</v>
      </c>
      <c r="T143" s="14" t="e">
        <f t="shared" si="2"/>
        <v>#REF!</v>
      </c>
    </row>
    <row r="144" spans="1:20" x14ac:dyDescent="0.45">
      <c r="A144" s="9" t="s">
        <v>19</v>
      </c>
      <c r="B144" s="9" t="s">
        <v>444</v>
      </c>
      <c r="C144" s="9" t="s">
        <v>93</v>
      </c>
      <c r="D144" s="9" t="s">
        <v>102</v>
      </c>
      <c r="E144" s="9" t="s">
        <v>445</v>
      </c>
      <c r="F144" s="9" t="s">
        <v>446</v>
      </c>
      <c r="G144" s="9" t="s">
        <v>446</v>
      </c>
      <c r="H144" s="9" t="s">
        <v>237</v>
      </c>
      <c r="I144" s="9" t="s">
        <v>98</v>
      </c>
      <c r="J144" s="9" t="s">
        <v>93</v>
      </c>
      <c r="K144" s="9" t="s">
        <v>27</v>
      </c>
      <c r="L144" s="9" t="e">
        <f>VLOOKUP(J144,#REF!,2,FALSE)</f>
        <v>#REF!</v>
      </c>
      <c r="N144" s="11" t="s">
        <v>28</v>
      </c>
      <c r="P144" s="13" t="s">
        <v>28</v>
      </c>
      <c r="Q144" s="13" t="s">
        <v>28</v>
      </c>
      <c r="R144" s="14" t="e">
        <v>#N/A</v>
      </c>
      <c r="S144" s="14" t="e">
        <f>VLOOKUP(I144,#REF!,2,FALSE)</f>
        <v>#REF!</v>
      </c>
      <c r="T144" s="14" t="e">
        <f t="shared" si="2"/>
        <v>#N/A</v>
      </c>
    </row>
    <row r="145" spans="1:20" x14ac:dyDescent="0.45">
      <c r="A145" s="9" t="s">
        <v>19</v>
      </c>
      <c r="B145" s="9" t="s">
        <v>444</v>
      </c>
      <c r="C145" s="9" t="s">
        <v>93</v>
      </c>
      <c r="D145" s="9" t="s">
        <v>102</v>
      </c>
      <c r="E145" s="9" t="s">
        <v>447</v>
      </c>
      <c r="F145" s="9" t="s">
        <v>448</v>
      </c>
      <c r="G145" s="9" t="s">
        <v>448</v>
      </c>
      <c r="H145" s="9" t="s">
        <v>25</v>
      </c>
      <c r="I145" s="9" t="s">
        <v>98</v>
      </c>
      <c r="J145" s="9" t="s">
        <v>93</v>
      </c>
      <c r="K145" s="9" t="s">
        <v>27</v>
      </c>
      <c r="L145" s="9" t="e">
        <f>VLOOKUP(J145,#REF!,2,FALSE)</f>
        <v>#REF!</v>
      </c>
      <c r="N145" s="11" t="s">
        <v>28</v>
      </c>
      <c r="P145" s="13" t="s">
        <v>29</v>
      </c>
      <c r="Q145" s="13" t="s">
        <v>28</v>
      </c>
      <c r="R145" s="14">
        <v>194644.54</v>
      </c>
      <c r="S145" s="14" t="e">
        <f>VLOOKUP(I145,#REF!,2,FALSE)</f>
        <v>#REF!</v>
      </c>
      <c r="T145" s="14" t="e">
        <f t="shared" si="2"/>
        <v>#REF!</v>
      </c>
    </row>
    <row r="146" spans="1:20" x14ac:dyDescent="0.45">
      <c r="A146" s="9" t="s">
        <v>19</v>
      </c>
      <c r="B146" s="9" t="s">
        <v>444</v>
      </c>
      <c r="C146" s="9" t="s">
        <v>93</v>
      </c>
      <c r="D146" s="9" t="s">
        <v>102</v>
      </c>
      <c r="E146" s="9" t="s">
        <v>449</v>
      </c>
      <c r="F146" s="9" t="s">
        <v>450</v>
      </c>
      <c r="G146" s="9" t="s">
        <v>450</v>
      </c>
      <c r="H146" s="9" t="s">
        <v>25</v>
      </c>
      <c r="I146" s="9" t="s">
        <v>32</v>
      </c>
      <c r="J146" s="9" t="s">
        <v>93</v>
      </c>
      <c r="K146" s="9" t="s">
        <v>27</v>
      </c>
      <c r="L146" s="9" t="e">
        <f>VLOOKUP(J146,#REF!,2,FALSE)</f>
        <v>#REF!</v>
      </c>
      <c r="N146" s="11" t="s">
        <v>28</v>
      </c>
      <c r="P146" s="13" t="s">
        <v>29</v>
      </c>
      <c r="Q146" s="13" t="s">
        <v>28</v>
      </c>
      <c r="R146" s="14">
        <v>1121.28</v>
      </c>
      <c r="S146" s="14" t="e">
        <f>VLOOKUP(I146,#REF!,2,FALSE)</f>
        <v>#REF!</v>
      </c>
      <c r="T146" s="14" t="e">
        <f t="shared" si="2"/>
        <v>#REF!</v>
      </c>
    </row>
    <row r="147" spans="1:20" x14ac:dyDescent="0.45">
      <c r="A147" s="9" t="s">
        <v>19</v>
      </c>
      <c r="B147" s="9" t="s">
        <v>444</v>
      </c>
      <c r="C147" s="9" t="s">
        <v>93</v>
      </c>
      <c r="D147" s="9" t="s">
        <v>114</v>
      </c>
      <c r="E147" s="9" t="s">
        <v>451</v>
      </c>
      <c r="F147" s="9" t="s">
        <v>452</v>
      </c>
      <c r="G147" s="9" t="s">
        <v>452</v>
      </c>
      <c r="H147" s="9" t="s">
        <v>25</v>
      </c>
      <c r="I147" s="9" t="s">
        <v>98</v>
      </c>
      <c r="J147" s="9" t="s">
        <v>93</v>
      </c>
      <c r="K147" s="9" t="s">
        <v>27</v>
      </c>
      <c r="L147" s="9" t="e">
        <f>VLOOKUP(J147,#REF!,2,FALSE)</f>
        <v>#REF!</v>
      </c>
      <c r="N147" s="11" t="s">
        <v>28</v>
      </c>
      <c r="P147" s="13" t="s">
        <v>29</v>
      </c>
      <c r="Q147" s="13" t="s">
        <v>28</v>
      </c>
      <c r="R147" s="14">
        <v>3321.5</v>
      </c>
      <c r="S147" s="14" t="e">
        <f>VLOOKUP(I147,#REF!,2,FALSE)</f>
        <v>#REF!</v>
      </c>
      <c r="T147" s="14" t="e">
        <f t="shared" si="2"/>
        <v>#REF!</v>
      </c>
    </row>
    <row r="148" spans="1:20" x14ac:dyDescent="0.45">
      <c r="A148" s="9" t="s">
        <v>19</v>
      </c>
      <c r="B148" s="9" t="s">
        <v>444</v>
      </c>
      <c r="C148" s="9" t="s">
        <v>93</v>
      </c>
      <c r="D148" s="9" t="s">
        <v>114</v>
      </c>
      <c r="E148" s="9" t="s">
        <v>453</v>
      </c>
      <c r="F148" s="9" t="s">
        <v>454</v>
      </c>
      <c r="G148" s="9" t="s">
        <v>454</v>
      </c>
      <c r="H148" s="9" t="s">
        <v>25</v>
      </c>
      <c r="I148" s="9" t="s">
        <v>32</v>
      </c>
      <c r="J148" s="9" t="s">
        <v>93</v>
      </c>
      <c r="K148" s="9" t="s">
        <v>27</v>
      </c>
      <c r="L148" s="9" t="e">
        <f>VLOOKUP(J148,#REF!,2,FALSE)</f>
        <v>#REF!</v>
      </c>
      <c r="N148" s="11" t="s">
        <v>28</v>
      </c>
      <c r="P148" s="13" t="s">
        <v>29</v>
      </c>
      <c r="Q148" s="13" t="s">
        <v>28</v>
      </c>
      <c r="R148" s="14">
        <v>606.29999999999995</v>
      </c>
      <c r="S148" s="14" t="e">
        <f>VLOOKUP(I148,#REF!,2,FALSE)</f>
        <v>#REF!</v>
      </c>
      <c r="T148" s="14" t="e">
        <f t="shared" si="2"/>
        <v>#REF!</v>
      </c>
    </row>
    <row r="149" spans="1:20" x14ac:dyDescent="0.45">
      <c r="A149" s="9" t="s">
        <v>19</v>
      </c>
      <c r="B149" s="9" t="s">
        <v>455</v>
      </c>
      <c r="C149" s="9" t="s">
        <v>456</v>
      </c>
      <c r="D149" s="9" t="s">
        <v>457</v>
      </c>
      <c r="E149" s="9" t="s">
        <v>458</v>
      </c>
      <c r="F149" s="9" t="s">
        <v>459</v>
      </c>
      <c r="G149" s="9">
        <v>1931087375084</v>
      </c>
      <c r="H149" s="9" t="s">
        <v>25</v>
      </c>
      <c r="I149" s="9" t="s">
        <v>460</v>
      </c>
      <c r="J149" s="9" t="s">
        <v>456</v>
      </c>
      <c r="K149" s="9" t="s">
        <v>60</v>
      </c>
      <c r="L149" s="9" t="e">
        <f>VLOOKUP(J149,#REF!,2,FALSE)</f>
        <v>#REF!</v>
      </c>
      <c r="M149" s="11" t="s">
        <v>61</v>
      </c>
      <c r="N149" s="12" t="s">
        <v>28</v>
      </c>
      <c r="O149" s="13" t="s">
        <v>29</v>
      </c>
      <c r="P149" s="13" t="s">
        <v>29</v>
      </c>
      <c r="Q149" s="13" t="s">
        <v>29</v>
      </c>
      <c r="R149" s="14">
        <v>172183.19</v>
      </c>
      <c r="S149" s="14" t="e">
        <f>VLOOKUP(I149,#REF!,2,FALSE)</f>
        <v>#REF!</v>
      </c>
      <c r="T149" s="14" t="e">
        <f t="shared" si="2"/>
        <v>#REF!</v>
      </c>
    </row>
    <row r="150" spans="1:20" x14ac:dyDescent="0.45">
      <c r="A150" s="9" t="s">
        <v>19</v>
      </c>
      <c r="B150" s="9" t="s">
        <v>455</v>
      </c>
      <c r="C150" s="9" t="s">
        <v>456</v>
      </c>
      <c r="D150" s="9" t="s">
        <v>457</v>
      </c>
      <c r="E150" s="9" t="s">
        <v>461</v>
      </c>
      <c r="F150" s="9" t="s">
        <v>462</v>
      </c>
      <c r="G150" s="9">
        <v>1930136823159</v>
      </c>
      <c r="H150" s="9" t="s">
        <v>25</v>
      </c>
      <c r="I150" s="9" t="s">
        <v>32</v>
      </c>
      <c r="J150" s="9" t="s">
        <v>456</v>
      </c>
      <c r="K150" s="9" t="s">
        <v>60</v>
      </c>
      <c r="L150" s="9" t="e">
        <f>VLOOKUP(J150,#REF!,2,FALSE)</f>
        <v>#REF!</v>
      </c>
      <c r="M150" s="11" t="s">
        <v>61</v>
      </c>
      <c r="N150" s="12" t="s">
        <v>28</v>
      </c>
      <c r="O150" s="13" t="s">
        <v>29</v>
      </c>
      <c r="P150" s="13" t="s">
        <v>29</v>
      </c>
      <c r="Q150" s="13" t="s">
        <v>29</v>
      </c>
      <c r="R150" s="14">
        <v>4155.6099999999997</v>
      </c>
      <c r="S150" s="14" t="e">
        <f>VLOOKUP(I150,#REF!,2,FALSE)</f>
        <v>#REF!</v>
      </c>
      <c r="T150" s="14" t="e">
        <f t="shared" si="2"/>
        <v>#REF!</v>
      </c>
    </row>
    <row r="151" spans="1:20" x14ac:dyDescent="0.45">
      <c r="A151" s="9" t="s">
        <v>19</v>
      </c>
      <c r="B151" s="9" t="s">
        <v>455</v>
      </c>
      <c r="C151" s="9" t="s">
        <v>456</v>
      </c>
      <c r="D151" s="9" t="s">
        <v>463</v>
      </c>
      <c r="E151" s="9" t="s">
        <v>464</v>
      </c>
      <c r="F151" s="9" t="s">
        <v>465</v>
      </c>
      <c r="G151" s="9">
        <v>308463</v>
      </c>
      <c r="H151" s="9" t="s">
        <v>25</v>
      </c>
      <c r="I151" s="9" t="s">
        <v>460</v>
      </c>
      <c r="J151" s="9" t="s">
        <v>456</v>
      </c>
      <c r="K151" s="9" t="s">
        <v>60</v>
      </c>
      <c r="L151" s="9" t="e">
        <f>VLOOKUP(J151,#REF!,2,FALSE)</f>
        <v>#REF!</v>
      </c>
      <c r="M151" s="11" t="s">
        <v>170</v>
      </c>
      <c r="N151" s="12" t="s">
        <v>28</v>
      </c>
      <c r="O151" s="13" t="s">
        <v>29</v>
      </c>
      <c r="P151" s="13" t="s">
        <v>29</v>
      </c>
      <c r="Q151" s="13" t="s">
        <v>29</v>
      </c>
      <c r="R151" s="14">
        <v>501379</v>
      </c>
      <c r="S151" s="14" t="e">
        <f>VLOOKUP(I151,#REF!,2,FALSE)</f>
        <v>#REF!</v>
      </c>
      <c r="T151" s="14" t="e">
        <f t="shared" si="2"/>
        <v>#REF!</v>
      </c>
    </row>
    <row r="152" spans="1:20" x14ac:dyDescent="0.45">
      <c r="A152" s="9" t="s">
        <v>19</v>
      </c>
      <c r="B152" s="9" t="s">
        <v>455</v>
      </c>
      <c r="C152" s="9" t="s">
        <v>456</v>
      </c>
      <c r="D152" s="9" t="s">
        <v>466</v>
      </c>
      <c r="E152" s="9" t="s">
        <v>467</v>
      </c>
      <c r="F152" s="9" t="s">
        <v>468</v>
      </c>
      <c r="G152" s="9">
        <v>1103620100012670</v>
      </c>
      <c r="H152" s="9" t="s">
        <v>25</v>
      </c>
      <c r="I152" s="9" t="s">
        <v>460</v>
      </c>
      <c r="J152" s="9" t="s">
        <v>456</v>
      </c>
      <c r="K152" s="9" t="s">
        <v>60</v>
      </c>
      <c r="L152" s="9" t="e">
        <f>VLOOKUP(J152,#REF!,2,FALSE)</f>
        <v>#REF!</v>
      </c>
      <c r="M152" s="11" t="s">
        <v>61</v>
      </c>
      <c r="N152" s="12" t="s">
        <v>28</v>
      </c>
      <c r="O152" s="13" t="s">
        <v>29</v>
      </c>
      <c r="P152" s="13" t="s">
        <v>29</v>
      </c>
      <c r="Q152" s="13" t="s">
        <v>29</v>
      </c>
      <c r="R152" s="14">
        <v>9179.3799999999992</v>
      </c>
      <c r="S152" s="14" t="e">
        <f>VLOOKUP(I152,#REF!,2,FALSE)</f>
        <v>#REF!</v>
      </c>
      <c r="T152" s="14" t="e">
        <f t="shared" si="2"/>
        <v>#REF!</v>
      </c>
    </row>
    <row r="153" spans="1:20" x14ac:dyDescent="0.45">
      <c r="A153" s="9" t="s">
        <v>19</v>
      </c>
      <c r="B153" s="9" t="s">
        <v>455</v>
      </c>
      <c r="C153" s="9" t="s">
        <v>456</v>
      </c>
      <c r="D153" s="9" t="s">
        <v>466</v>
      </c>
      <c r="E153" s="9" t="s">
        <v>469</v>
      </c>
      <c r="F153" s="9" t="s">
        <v>470</v>
      </c>
      <c r="G153" s="9">
        <v>1103620100010280</v>
      </c>
      <c r="H153" s="9" t="s">
        <v>25</v>
      </c>
      <c r="I153" s="9" t="s">
        <v>32</v>
      </c>
      <c r="J153" s="9" t="s">
        <v>456</v>
      </c>
      <c r="K153" s="9" t="s">
        <v>60</v>
      </c>
      <c r="L153" s="9" t="e">
        <f>VLOOKUP(J153,#REF!,2,FALSE)</f>
        <v>#REF!</v>
      </c>
      <c r="M153" s="11" t="s">
        <v>61</v>
      </c>
      <c r="N153" s="12" t="s">
        <v>28</v>
      </c>
      <c r="O153" s="13" t="s">
        <v>29</v>
      </c>
      <c r="P153" s="13" t="s">
        <v>29</v>
      </c>
      <c r="Q153" s="13" t="s">
        <v>29</v>
      </c>
      <c r="R153" s="14">
        <v>2189781.63</v>
      </c>
      <c r="S153" s="14" t="e">
        <f>VLOOKUP(I153,#REF!,2,FALSE)</f>
        <v>#REF!</v>
      </c>
      <c r="T153" s="14" t="e">
        <f t="shared" si="2"/>
        <v>#REF!</v>
      </c>
    </row>
    <row r="154" spans="1:20" x14ac:dyDescent="0.45">
      <c r="A154" s="9" t="s">
        <v>19</v>
      </c>
      <c r="B154" s="9" t="s">
        <v>455</v>
      </c>
      <c r="C154" s="9" t="s">
        <v>456</v>
      </c>
      <c r="D154" s="9" t="s">
        <v>471</v>
      </c>
      <c r="E154" s="9" t="s">
        <v>472</v>
      </c>
      <c r="F154" s="9" t="s">
        <v>473</v>
      </c>
      <c r="G154" s="9">
        <v>2003001315925</v>
      </c>
      <c r="H154" s="9" t="s">
        <v>25</v>
      </c>
      <c r="I154" s="9" t="s">
        <v>460</v>
      </c>
      <c r="J154" s="9" t="s">
        <v>456</v>
      </c>
      <c r="K154" s="9" t="s">
        <v>60</v>
      </c>
      <c r="L154" s="9" t="e">
        <f>VLOOKUP(J154,#REF!,2,FALSE)</f>
        <v>#REF!</v>
      </c>
      <c r="M154" s="11" t="s">
        <v>61</v>
      </c>
      <c r="N154" s="12" t="s">
        <v>28</v>
      </c>
      <c r="O154" s="13" t="s">
        <v>29</v>
      </c>
      <c r="P154" s="13" t="s">
        <v>29</v>
      </c>
      <c r="Q154" s="13" t="s">
        <v>29</v>
      </c>
      <c r="R154" s="14">
        <v>15123.32</v>
      </c>
      <c r="S154" s="14" t="e">
        <f>VLOOKUP(I154,#REF!,2,FALSE)</f>
        <v>#REF!</v>
      </c>
      <c r="T154" s="14" t="e">
        <f t="shared" si="2"/>
        <v>#REF!</v>
      </c>
    </row>
    <row r="155" spans="1:20" x14ac:dyDescent="0.45">
      <c r="A155" s="9" t="s">
        <v>19</v>
      </c>
      <c r="B155" s="9" t="s">
        <v>455</v>
      </c>
      <c r="C155" s="9" t="s">
        <v>456</v>
      </c>
      <c r="D155" s="9" t="s">
        <v>471</v>
      </c>
      <c r="E155" s="9" t="s">
        <v>474</v>
      </c>
      <c r="F155" s="9" t="s">
        <v>475</v>
      </c>
      <c r="G155" s="9">
        <v>1000008231550</v>
      </c>
      <c r="H155" s="9" t="s">
        <v>25</v>
      </c>
      <c r="I155" s="9" t="s">
        <v>32</v>
      </c>
      <c r="J155" s="9" t="s">
        <v>456</v>
      </c>
      <c r="K155" s="9" t="s">
        <v>60</v>
      </c>
      <c r="L155" s="9" t="e">
        <f>VLOOKUP(J155,#REF!,2,FALSE)</f>
        <v>#REF!</v>
      </c>
      <c r="M155" s="11" t="s">
        <v>61</v>
      </c>
      <c r="N155" s="12" t="s">
        <v>28</v>
      </c>
      <c r="O155" s="13" t="s">
        <v>29</v>
      </c>
      <c r="P155" s="13" t="s">
        <v>29</v>
      </c>
      <c r="Q155" s="13" t="s">
        <v>29</v>
      </c>
      <c r="R155" s="14">
        <v>7702.56</v>
      </c>
      <c r="S155" s="14" t="e">
        <f>VLOOKUP(I155,#REF!,2,FALSE)</f>
        <v>#REF!</v>
      </c>
      <c r="T155" s="14" t="e">
        <f t="shared" si="2"/>
        <v>#REF!</v>
      </c>
    </row>
    <row r="156" spans="1:20" x14ac:dyDescent="0.45">
      <c r="A156" s="9" t="s">
        <v>19</v>
      </c>
      <c r="B156" s="9" t="s">
        <v>455</v>
      </c>
      <c r="C156" s="9" t="s">
        <v>456</v>
      </c>
      <c r="D156" s="9" t="s">
        <v>476</v>
      </c>
      <c r="E156" s="9" t="s">
        <v>477</v>
      </c>
      <c r="F156" s="9" t="s">
        <v>478</v>
      </c>
      <c r="G156" s="9">
        <v>8117462</v>
      </c>
      <c r="H156" s="9" t="s">
        <v>25</v>
      </c>
      <c r="I156" s="9" t="s">
        <v>460</v>
      </c>
      <c r="J156" s="9" t="s">
        <v>456</v>
      </c>
      <c r="K156" s="9" t="s">
        <v>60</v>
      </c>
      <c r="L156" s="9" t="e">
        <f>VLOOKUP(J156,#REF!,2,FALSE)</f>
        <v>#REF!</v>
      </c>
      <c r="M156" s="11" t="s">
        <v>61</v>
      </c>
      <c r="N156" s="12" t="s">
        <v>28</v>
      </c>
      <c r="O156" s="13" t="s">
        <v>29</v>
      </c>
      <c r="P156" s="13" t="s">
        <v>29</v>
      </c>
      <c r="Q156" s="13" t="s">
        <v>29</v>
      </c>
      <c r="R156" s="14">
        <v>8714.4500000000007</v>
      </c>
      <c r="S156" s="14" t="e">
        <f>VLOOKUP(I156,#REF!,2,FALSE)</f>
        <v>#REF!</v>
      </c>
      <c r="T156" s="14" t="e">
        <f t="shared" si="2"/>
        <v>#REF!</v>
      </c>
    </row>
    <row r="157" spans="1:20" x14ac:dyDescent="0.45">
      <c r="A157" s="9" t="s">
        <v>19</v>
      </c>
      <c r="B157" s="9" t="s">
        <v>455</v>
      </c>
      <c r="C157" s="9" t="s">
        <v>456</v>
      </c>
      <c r="D157" s="9" t="s">
        <v>476</v>
      </c>
      <c r="E157" s="9" t="s">
        <v>479</v>
      </c>
      <c r="F157" s="9" t="s">
        <v>480</v>
      </c>
      <c r="G157" s="9">
        <v>10183747</v>
      </c>
      <c r="H157" s="9" t="s">
        <v>25</v>
      </c>
      <c r="I157" s="9" t="s">
        <v>32</v>
      </c>
      <c r="J157" s="9" t="s">
        <v>456</v>
      </c>
      <c r="K157" s="9" t="s">
        <v>60</v>
      </c>
      <c r="L157" s="9" t="e">
        <f>VLOOKUP(J157,#REF!,2,FALSE)</f>
        <v>#REF!</v>
      </c>
      <c r="M157" s="11" t="s">
        <v>61</v>
      </c>
      <c r="N157" s="12" t="s">
        <v>28</v>
      </c>
      <c r="O157" s="13" t="s">
        <v>29</v>
      </c>
      <c r="P157" s="13" t="s">
        <v>29</v>
      </c>
      <c r="Q157" s="13" t="s">
        <v>29</v>
      </c>
      <c r="R157" s="14">
        <v>49458.27</v>
      </c>
      <c r="S157" s="14" t="e">
        <f>VLOOKUP(I157,#REF!,2,FALSE)</f>
        <v>#REF!</v>
      </c>
      <c r="T157" s="14" t="e">
        <f t="shared" si="2"/>
        <v>#REF!</v>
      </c>
    </row>
    <row r="158" spans="1:20" x14ac:dyDescent="0.45">
      <c r="A158" s="9" t="s">
        <v>19</v>
      </c>
      <c r="B158" s="9" t="s">
        <v>481</v>
      </c>
      <c r="C158" s="9" t="s">
        <v>183</v>
      </c>
      <c r="D158" s="9" t="s">
        <v>200</v>
      </c>
      <c r="E158" s="9" t="s">
        <v>482</v>
      </c>
      <c r="F158" s="9" t="s">
        <v>520</v>
      </c>
      <c r="G158" s="9" t="s">
        <v>520</v>
      </c>
      <c r="H158" s="9" t="s">
        <v>25</v>
      </c>
      <c r="I158" s="9" t="s">
        <v>157</v>
      </c>
      <c r="J158" s="9" t="s">
        <v>183</v>
      </c>
      <c r="K158" s="9" t="s">
        <v>27</v>
      </c>
      <c r="L158" s="9" t="e">
        <f>VLOOKUP(J158,#REF!,2,FALSE)</f>
        <v>#REF!</v>
      </c>
      <c r="N158" s="11" t="s">
        <v>28</v>
      </c>
      <c r="P158" s="13" t="s">
        <v>29</v>
      </c>
      <c r="Q158" s="13" t="s">
        <v>28</v>
      </c>
      <c r="R158" s="14">
        <v>-37887</v>
      </c>
      <c r="S158" s="14" t="e">
        <f>VLOOKUP(I158,#REF!,2,FALSE)</f>
        <v>#REF!</v>
      </c>
      <c r="T158" s="14" t="e">
        <f t="shared" si="2"/>
        <v>#REF!</v>
      </c>
    </row>
    <row r="159" spans="1:20" x14ac:dyDescent="0.45">
      <c r="A159" s="9" t="s">
        <v>19</v>
      </c>
      <c r="B159" s="9" t="s">
        <v>483</v>
      </c>
      <c r="C159" s="9" t="s">
        <v>113</v>
      </c>
      <c r="D159" s="9" t="s">
        <v>234</v>
      </c>
      <c r="E159" s="9" t="s">
        <v>484</v>
      </c>
      <c r="F159" s="9" t="s">
        <v>485</v>
      </c>
      <c r="G159" s="9">
        <v>201014255</v>
      </c>
      <c r="H159" s="9" t="s">
        <v>237</v>
      </c>
      <c r="I159" s="9" t="s">
        <v>112</v>
      </c>
      <c r="J159" s="9" t="s">
        <v>113</v>
      </c>
      <c r="K159" s="9" t="s">
        <v>27</v>
      </c>
      <c r="L159" s="9" t="e">
        <f>VLOOKUP(J159,#REF!,2,FALSE)</f>
        <v>#REF!</v>
      </c>
      <c r="N159" s="11" t="s">
        <v>28</v>
      </c>
      <c r="P159" s="13" t="s">
        <v>29</v>
      </c>
      <c r="Q159" s="13" t="s">
        <v>28</v>
      </c>
      <c r="R159" s="14">
        <v>1000</v>
      </c>
      <c r="S159" s="14" t="e">
        <f>VLOOKUP(I159,#REF!,2,FALSE)</f>
        <v>#REF!</v>
      </c>
      <c r="T159" s="14" t="e">
        <f t="shared" si="2"/>
        <v>#REF!</v>
      </c>
    </row>
    <row r="160" spans="1:20" x14ac:dyDescent="0.45">
      <c r="A160" s="9" t="s">
        <v>19</v>
      </c>
      <c r="B160" s="9" t="s">
        <v>483</v>
      </c>
      <c r="C160" s="9" t="s">
        <v>113</v>
      </c>
      <c r="D160" s="9" t="s">
        <v>234</v>
      </c>
      <c r="E160" s="9" t="s">
        <v>486</v>
      </c>
      <c r="F160" s="9" t="s">
        <v>487</v>
      </c>
      <c r="G160" s="9">
        <v>201014018</v>
      </c>
      <c r="H160" s="9" t="s">
        <v>129</v>
      </c>
      <c r="I160" s="9" t="s">
        <v>112</v>
      </c>
      <c r="J160" s="9" t="s">
        <v>113</v>
      </c>
      <c r="K160" s="9" t="s">
        <v>27</v>
      </c>
      <c r="L160" s="9" t="e">
        <f>VLOOKUP(J160,#REF!,2,FALSE)</f>
        <v>#REF!</v>
      </c>
      <c r="N160" s="11" t="s">
        <v>28</v>
      </c>
      <c r="P160" s="13" t="s">
        <v>29</v>
      </c>
      <c r="Q160" s="13" t="s">
        <v>28</v>
      </c>
      <c r="R160" s="14">
        <v>-46497696.689999998</v>
      </c>
      <c r="S160" s="14" t="e">
        <f>VLOOKUP(I160,#REF!,2,FALSE)</f>
        <v>#REF!</v>
      </c>
      <c r="T160" s="14" t="e">
        <f t="shared" si="2"/>
        <v>#REF!</v>
      </c>
    </row>
    <row r="161" spans="1:20" x14ac:dyDescent="0.45">
      <c r="A161" s="9" t="s">
        <v>19</v>
      </c>
      <c r="B161" s="9" t="s">
        <v>483</v>
      </c>
      <c r="C161" s="9" t="s">
        <v>113</v>
      </c>
      <c r="D161" s="9" t="s">
        <v>364</v>
      </c>
      <c r="E161" s="9" t="s">
        <v>488</v>
      </c>
      <c r="F161" s="9" t="s">
        <v>489</v>
      </c>
      <c r="G161" s="9">
        <v>51659859</v>
      </c>
      <c r="H161" s="9" t="s">
        <v>129</v>
      </c>
      <c r="I161" s="9" t="s">
        <v>112</v>
      </c>
      <c r="J161" s="9" t="s">
        <v>113</v>
      </c>
      <c r="K161" s="9" t="s">
        <v>27</v>
      </c>
      <c r="L161" s="9" t="e">
        <f>VLOOKUP(J161,#REF!,2,FALSE)</f>
        <v>#REF!</v>
      </c>
      <c r="N161" s="11" t="s">
        <v>28</v>
      </c>
      <c r="P161" s="13" t="s">
        <v>29</v>
      </c>
      <c r="Q161" s="13" t="s">
        <v>28</v>
      </c>
      <c r="R161" s="14">
        <v>-302278231.69999999</v>
      </c>
      <c r="S161" s="14" t="e">
        <f>VLOOKUP(I161,#REF!,2,FALSE)</f>
        <v>#REF!</v>
      </c>
      <c r="T161" s="14" t="e">
        <f t="shared" si="2"/>
        <v>#REF!</v>
      </c>
    </row>
    <row r="162" spans="1:20" x14ac:dyDescent="0.45">
      <c r="A162" s="9" t="s">
        <v>19</v>
      </c>
      <c r="B162" s="9" t="s">
        <v>483</v>
      </c>
      <c r="C162" s="9" t="s">
        <v>113</v>
      </c>
      <c r="D162" s="9" t="s">
        <v>109</v>
      </c>
      <c r="E162" s="9" t="s">
        <v>490</v>
      </c>
      <c r="F162" s="9" t="s">
        <v>491</v>
      </c>
      <c r="G162" s="9">
        <v>50840168493</v>
      </c>
      <c r="H162" s="9" t="s">
        <v>25</v>
      </c>
      <c r="I162" s="9" t="s">
        <v>112</v>
      </c>
      <c r="J162" s="9" t="s">
        <v>113</v>
      </c>
      <c r="K162" s="9" t="s">
        <v>27</v>
      </c>
      <c r="L162" s="9" t="e">
        <f>VLOOKUP(J162,#REF!,2,FALSE)</f>
        <v>#REF!</v>
      </c>
      <c r="N162" s="11" t="s">
        <v>28</v>
      </c>
      <c r="P162" s="13" t="s">
        <v>29</v>
      </c>
      <c r="Q162" s="13" t="s">
        <v>28</v>
      </c>
      <c r="R162" s="14">
        <v>42356.14</v>
      </c>
      <c r="S162" s="14" t="e">
        <f>VLOOKUP(I162,#REF!,2,FALSE)</f>
        <v>#REF!</v>
      </c>
      <c r="T162" s="14" t="e">
        <f t="shared" si="2"/>
        <v>#REF!</v>
      </c>
    </row>
    <row r="163" spans="1:20" x14ac:dyDescent="0.45">
      <c r="A163" s="9" t="s">
        <v>19</v>
      </c>
      <c r="B163" s="9" t="s">
        <v>483</v>
      </c>
      <c r="C163" s="9" t="s">
        <v>113</v>
      </c>
      <c r="D163" s="9" t="s">
        <v>234</v>
      </c>
      <c r="E163" s="9" t="s">
        <v>492</v>
      </c>
      <c r="F163" s="9" t="s">
        <v>493</v>
      </c>
      <c r="G163" s="9">
        <v>201014026</v>
      </c>
      <c r="H163" s="9" t="s">
        <v>121</v>
      </c>
      <c r="I163" s="9" t="s">
        <v>32</v>
      </c>
      <c r="J163" s="9" t="s">
        <v>113</v>
      </c>
      <c r="K163" s="9" t="s">
        <v>27</v>
      </c>
      <c r="L163" s="9" t="e">
        <f>VLOOKUP(J163,#REF!,2,FALSE)</f>
        <v>#REF!</v>
      </c>
      <c r="N163" s="11" t="s">
        <v>28</v>
      </c>
      <c r="P163" s="13" t="s">
        <v>29</v>
      </c>
      <c r="Q163" s="13" t="s">
        <v>28</v>
      </c>
      <c r="R163" s="14">
        <v>-1633.36</v>
      </c>
      <c r="S163" s="14" t="e">
        <f>VLOOKUP(I163,#REF!,2,FALSE)</f>
        <v>#REF!</v>
      </c>
      <c r="T163" s="14" t="e">
        <f t="shared" si="2"/>
        <v>#REF!</v>
      </c>
    </row>
    <row r="164" spans="1:20" x14ac:dyDescent="0.45">
      <c r="A164" s="9" t="s">
        <v>19</v>
      </c>
      <c r="B164" s="9" t="s">
        <v>483</v>
      </c>
      <c r="C164" s="9" t="s">
        <v>113</v>
      </c>
      <c r="D164" s="9" t="s">
        <v>364</v>
      </c>
      <c r="E164" s="9" t="s">
        <v>494</v>
      </c>
      <c r="F164" s="9" t="s">
        <v>495</v>
      </c>
      <c r="G164" s="9">
        <v>90121023</v>
      </c>
      <c r="H164" s="9" t="s">
        <v>121</v>
      </c>
      <c r="I164" s="9" t="s">
        <v>32</v>
      </c>
      <c r="J164" s="9" t="s">
        <v>113</v>
      </c>
      <c r="K164" s="9" t="s">
        <v>27</v>
      </c>
      <c r="L164" s="9" t="e">
        <f>VLOOKUP(J164,#REF!,2,FALSE)</f>
        <v>#REF!</v>
      </c>
      <c r="N164" s="11" t="s">
        <v>28</v>
      </c>
      <c r="P164" s="13" t="s">
        <v>29</v>
      </c>
      <c r="Q164" s="13" t="s">
        <v>28</v>
      </c>
      <c r="R164" s="14">
        <v>0</v>
      </c>
      <c r="S164" s="14" t="e">
        <f>VLOOKUP(I164,#REF!,2,FALSE)</f>
        <v>#REF!</v>
      </c>
      <c r="T164" s="14" t="e">
        <f t="shared" si="2"/>
        <v>#REF!</v>
      </c>
    </row>
    <row r="165" spans="1:20" x14ac:dyDescent="0.45">
      <c r="A165" s="9" t="s">
        <v>19</v>
      </c>
      <c r="B165" s="9" t="s">
        <v>483</v>
      </c>
      <c r="C165" s="9" t="s">
        <v>113</v>
      </c>
      <c r="D165" s="9" t="s">
        <v>364</v>
      </c>
      <c r="E165" s="9" t="s">
        <v>496</v>
      </c>
      <c r="F165" s="9" t="s">
        <v>497</v>
      </c>
      <c r="G165" s="9">
        <v>90911466</v>
      </c>
      <c r="H165" s="9" t="s">
        <v>121</v>
      </c>
      <c r="I165" s="9" t="s">
        <v>98</v>
      </c>
      <c r="J165" s="9" t="s">
        <v>113</v>
      </c>
      <c r="K165" s="9" t="s">
        <v>27</v>
      </c>
      <c r="L165" s="9" t="e">
        <f>VLOOKUP(J165,#REF!,2,FALSE)</f>
        <v>#REF!</v>
      </c>
      <c r="N165" s="11" t="s">
        <v>28</v>
      </c>
      <c r="P165" s="13" t="s">
        <v>29</v>
      </c>
      <c r="Q165" s="13" t="s">
        <v>28</v>
      </c>
      <c r="R165" s="14">
        <v>0</v>
      </c>
      <c r="S165" s="14" t="e">
        <f>VLOOKUP(I165,#REF!,2,FALSE)</f>
        <v>#REF!</v>
      </c>
      <c r="T165" s="14" t="e">
        <f t="shared" si="2"/>
        <v>#REF!</v>
      </c>
    </row>
    <row r="166" spans="1:20" x14ac:dyDescent="0.45">
      <c r="A166" s="9" t="s">
        <v>19</v>
      </c>
      <c r="B166" s="9" t="s">
        <v>498</v>
      </c>
      <c r="C166" s="9" t="s">
        <v>456</v>
      </c>
      <c r="D166" s="9" t="s">
        <v>463</v>
      </c>
      <c r="E166" s="9" t="s">
        <v>499</v>
      </c>
      <c r="F166" s="9" t="s">
        <v>500</v>
      </c>
      <c r="G166" s="9" t="s">
        <v>500</v>
      </c>
      <c r="H166" s="9" t="s">
        <v>187</v>
      </c>
      <c r="I166" s="9" t="s">
        <v>460</v>
      </c>
      <c r="J166" s="9" t="s">
        <v>456</v>
      </c>
      <c r="K166" s="9" t="s">
        <v>60</v>
      </c>
      <c r="L166" s="9" t="e">
        <f>VLOOKUP(J166,#REF!,2,FALSE)</f>
        <v>#REF!</v>
      </c>
      <c r="M166" s="11" t="s">
        <v>170</v>
      </c>
      <c r="N166" s="12" t="s">
        <v>28</v>
      </c>
      <c r="O166" s="13" t="s">
        <v>29</v>
      </c>
      <c r="P166" s="13" t="s">
        <v>29</v>
      </c>
      <c r="Q166" s="13" t="s">
        <v>29</v>
      </c>
      <c r="R166" s="14">
        <v>42</v>
      </c>
      <c r="S166" s="14" t="e">
        <f>VLOOKUP(I166,#REF!,2,FALSE)</f>
        <v>#REF!</v>
      </c>
      <c r="T166" s="14" t="e">
        <f t="shared" si="2"/>
        <v>#REF!</v>
      </c>
    </row>
    <row r="167" spans="1:20" x14ac:dyDescent="0.45">
      <c r="A167" s="9" t="s">
        <v>19</v>
      </c>
      <c r="B167" s="9" t="s">
        <v>498</v>
      </c>
      <c r="C167" s="9" t="s">
        <v>456</v>
      </c>
      <c r="D167" s="9" t="s">
        <v>457</v>
      </c>
      <c r="E167" s="9" t="s">
        <v>501</v>
      </c>
      <c r="F167" s="9" t="s">
        <v>502</v>
      </c>
      <c r="G167" s="9" t="s">
        <v>502</v>
      </c>
      <c r="H167" s="9" t="s">
        <v>25</v>
      </c>
      <c r="I167" s="9" t="s">
        <v>460</v>
      </c>
      <c r="J167" s="9" t="s">
        <v>456</v>
      </c>
      <c r="K167" s="9" t="s">
        <v>60</v>
      </c>
      <c r="L167" s="9" t="e">
        <f>VLOOKUP(J167,#REF!,2,FALSE)</f>
        <v>#REF!</v>
      </c>
      <c r="M167" s="11" t="s">
        <v>503</v>
      </c>
      <c r="N167" s="12" t="s">
        <v>28</v>
      </c>
      <c r="O167" s="13" t="s">
        <v>29</v>
      </c>
      <c r="P167" s="13" t="s">
        <v>29</v>
      </c>
      <c r="Q167" s="13" t="s">
        <v>29</v>
      </c>
      <c r="R167" s="14">
        <v>142294.99</v>
      </c>
      <c r="S167" s="14" t="e">
        <f>VLOOKUP(I167,#REF!,2,FALSE)</f>
        <v>#REF!</v>
      </c>
      <c r="T167" s="14" t="e">
        <f t="shared" si="2"/>
        <v>#REF!</v>
      </c>
    </row>
    <row r="168" spans="1:20" x14ac:dyDescent="0.45">
      <c r="A168" s="9" t="s">
        <v>19</v>
      </c>
      <c r="B168" s="9" t="s">
        <v>498</v>
      </c>
      <c r="C168" s="9" t="s">
        <v>456</v>
      </c>
      <c r="D168" s="9" t="s">
        <v>457</v>
      </c>
      <c r="E168" s="9" t="s">
        <v>504</v>
      </c>
      <c r="F168" s="9" t="s">
        <v>505</v>
      </c>
      <c r="G168" s="9" t="s">
        <v>505</v>
      </c>
      <c r="H168" s="9" t="s">
        <v>25</v>
      </c>
      <c r="I168" s="9" t="s">
        <v>32</v>
      </c>
      <c r="J168" s="9" t="s">
        <v>456</v>
      </c>
      <c r="K168" s="9" t="s">
        <v>60</v>
      </c>
      <c r="L168" s="9" t="e">
        <f>VLOOKUP(J168,#REF!,2,FALSE)</f>
        <v>#REF!</v>
      </c>
      <c r="M168" s="11" t="s">
        <v>503</v>
      </c>
      <c r="N168" s="12" t="s">
        <v>28</v>
      </c>
      <c r="O168" s="13" t="s">
        <v>29</v>
      </c>
      <c r="P168" s="13" t="s">
        <v>29</v>
      </c>
      <c r="Q168" s="13" t="s">
        <v>29</v>
      </c>
      <c r="R168" s="14">
        <v>8655.3799999999992</v>
      </c>
      <c r="S168" s="14" t="e">
        <f>VLOOKUP(I168,#REF!,2,FALSE)</f>
        <v>#REF!</v>
      </c>
      <c r="T168" s="14" t="e">
        <f t="shared" si="2"/>
        <v>#REF!</v>
      </c>
    </row>
    <row r="169" spans="1:20" x14ac:dyDescent="0.45">
      <c r="A169" s="9" t="s">
        <v>19</v>
      </c>
      <c r="B169" s="9" t="s">
        <v>506</v>
      </c>
      <c r="C169" s="9" t="s">
        <v>324</v>
      </c>
      <c r="D169" s="9" t="s">
        <v>335</v>
      </c>
      <c r="E169" s="9" t="s">
        <v>507</v>
      </c>
      <c r="F169" s="9" t="s">
        <v>508</v>
      </c>
      <c r="G169" s="9">
        <v>9130005773419</v>
      </c>
      <c r="H169" s="9" t="s">
        <v>25</v>
      </c>
      <c r="I169" s="9" t="s">
        <v>328</v>
      </c>
      <c r="J169" s="9" t="s">
        <v>324</v>
      </c>
      <c r="K169" s="9" t="s">
        <v>27</v>
      </c>
      <c r="L169" s="9" t="e">
        <f>VLOOKUP(J169,#REF!,2,FALSE)</f>
        <v>#REF!</v>
      </c>
      <c r="N169" s="11" t="s">
        <v>28</v>
      </c>
      <c r="P169" s="13" t="s">
        <v>29</v>
      </c>
      <c r="Q169" s="13" t="s">
        <v>28</v>
      </c>
      <c r="R169" s="14">
        <v>404703.79</v>
      </c>
      <c r="S169" s="14" t="e">
        <f>VLOOKUP(I169,#REF!,2,FALSE)</f>
        <v>#REF!</v>
      </c>
      <c r="T169" s="14" t="e">
        <f t="shared" si="2"/>
        <v>#REF!</v>
      </c>
    </row>
    <row r="170" spans="1:20" x14ac:dyDescent="0.45">
      <c r="A170" s="9" t="s">
        <v>19</v>
      </c>
      <c r="B170" s="9" t="s">
        <v>506</v>
      </c>
      <c r="C170" s="9" t="s">
        <v>324</v>
      </c>
      <c r="D170" s="9" t="s">
        <v>335</v>
      </c>
      <c r="E170" s="9" t="s">
        <v>509</v>
      </c>
      <c r="F170" s="9" t="s">
        <v>510</v>
      </c>
      <c r="G170" s="9">
        <v>9130005773435</v>
      </c>
      <c r="H170" s="9" t="s">
        <v>25</v>
      </c>
      <c r="I170" s="9" t="s">
        <v>328</v>
      </c>
      <c r="J170" s="9" t="s">
        <v>324</v>
      </c>
      <c r="K170" s="9" t="s">
        <v>27</v>
      </c>
      <c r="L170" s="9" t="e">
        <f>VLOOKUP(J170,#REF!,2,FALSE)</f>
        <v>#REF!</v>
      </c>
      <c r="N170" s="11" t="s">
        <v>28</v>
      </c>
      <c r="P170" s="13" t="s">
        <v>29</v>
      </c>
      <c r="Q170" s="13" t="s">
        <v>28</v>
      </c>
      <c r="R170" s="14">
        <v>19638052.969999999</v>
      </c>
      <c r="S170" s="14" t="e">
        <f>VLOOKUP(I170,#REF!,2,FALSE)</f>
        <v>#REF!</v>
      </c>
      <c r="T170" s="14" t="e">
        <f t="shared" si="2"/>
        <v>#REF!</v>
      </c>
    </row>
    <row r="171" spans="1:20" x14ac:dyDescent="0.45">
      <c r="A171" s="9" t="s">
        <v>19</v>
      </c>
      <c r="B171" s="9" t="s">
        <v>506</v>
      </c>
      <c r="C171" s="9" t="s">
        <v>324</v>
      </c>
      <c r="D171" s="9" t="s">
        <v>335</v>
      </c>
      <c r="E171" s="9" t="s">
        <v>511</v>
      </c>
      <c r="F171" s="9" t="s">
        <v>512</v>
      </c>
      <c r="G171" s="9">
        <v>9130005773478</v>
      </c>
      <c r="H171" s="9" t="s">
        <v>25</v>
      </c>
      <c r="I171" s="9" t="s">
        <v>32</v>
      </c>
      <c r="J171" s="9" t="s">
        <v>324</v>
      </c>
      <c r="K171" s="9" t="s">
        <v>27</v>
      </c>
      <c r="L171" s="9" t="e">
        <f>VLOOKUP(J171,#REF!,2,FALSE)</f>
        <v>#REF!</v>
      </c>
      <c r="N171" s="11" t="s">
        <v>28</v>
      </c>
      <c r="P171" s="13" t="s">
        <v>29</v>
      </c>
      <c r="Q171" s="13" t="s">
        <v>28</v>
      </c>
      <c r="R171" s="14">
        <v>1769030.46</v>
      </c>
      <c r="S171" s="14" t="e">
        <f>VLOOKUP(I171,#REF!,2,FALSE)</f>
        <v>#REF!</v>
      </c>
      <c r="T171" s="14" t="e">
        <f t="shared" si="2"/>
        <v>#REF!</v>
      </c>
    </row>
    <row r="172" spans="1:20" x14ac:dyDescent="0.45">
      <c r="A172" s="9" t="s">
        <v>19</v>
      </c>
      <c r="B172" s="9" t="s">
        <v>513</v>
      </c>
      <c r="C172" s="9" t="s">
        <v>243</v>
      </c>
      <c r="D172" s="9" t="s">
        <v>268</v>
      </c>
      <c r="E172" s="9" t="s">
        <v>514</v>
      </c>
      <c r="F172" s="9" t="s">
        <v>515</v>
      </c>
      <c r="G172" s="9">
        <v>4196155</v>
      </c>
      <c r="H172" s="9" t="s">
        <v>25</v>
      </c>
      <c r="I172" s="9" t="s">
        <v>247</v>
      </c>
      <c r="J172" s="9" t="s">
        <v>243</v>
      </c>
      <c r="K172" s="9" t="s">
        <v>27</v>
      </c>
      <c r="L172" s="9" t="e">
        <f>VLOOKUP(J172,#REF!,2,FALSE)</f>
        <v>#REF!</v>
      </c>
      <c r="N172" s="11" t="s">
        <v>28</v>
      </c>
      <c r="P172" s="13" t="s">
        <v>28</v>
      </c>
      <c r="Q172" s="13" t="s">
        <v>28</v>
      </c>
      <c r="R172" s="14" t="e">
        <v>#N/A</v>
      </c>
      <c r="S172" s="14" t="e">
        <f>VLOOKUP(I172,#REF!,2,FALSE)</f>
        <v>#REF!</v>
      </c>
      <c r="T172" s="14" t="e">
        <f t="shared" si="2"/>
        <v>#N/A</v>
      </c>
    </row>
    <row r="173" spans="1:20" x14ac:dyDescent="0.45">
      <c r="A173" s="9" t="s">
        <v>19</v>
      </c>
      <c r="B173" s="9" t="s">
        <v>513</v>
      </c>
      <c r="C173" s="9" t="s">
        <v>243</v>
      </c>
      <c r="D173" s="9" t="s">
        <v>268</v>
      </c>
      <c r="E173" s="9" t="s">
        <v>516</v>
      </c>
      <c r="F173" s="9" t="s">
        <v>517</v>
      </c>
      <c r="G173" s="9">
        <v>260068942</v>
      </c>
      <c r="H173" s="9" t="s">
        <v>51</v>
      </c>
      <c r="I173" s="9" t="s">
        <v>247</v>
      </c>
      <c r="J173" s="9" t="s">
        <v>243</v>
      </c>
      <c r="K173" s="9" t="s">
        <v>27</v>
      </c>
      <c r="L173" s="9" t="e">
        <f>VLOOKUP(J173,#REF!,2,FALSE)</f>
        <v>#REF!</v>
      </c>
      <c r="N173" s="11" t="s">
        <v>28</v>
      </c>
      <c r="P173" s="13" t="s">
        <v>28</v>
      </c>
      <c r="Q173" s="13" t="s">
        <v>28</v>
      </c>
      <c r="R173" s="14" t="e">
        <v>#N/A</v>
      </c>
      <c r="S173" s="14" t="e">
        <f>VLOOKUP(I173,#REF!,2,FALSE)</f>
        <v>#REF!</v>
      </c>
      <c r="T173" s="14" t="e">
        <f t="shared" si="2"/>
        <v>#N/A</v>
      </c>
    </row>
    <row r="174" spans="1:20" x14ac:dyDescent="0.45">
      <c r="A174" s="9" t="s">
        <v>19</v>
      </c>
      <c r="B174" s="9" t="s">
        <v>513</v>
      </c>
      <c r="C174" s="9" t="s">
        <v>243</v>
      </c>
      <c r="D174" s="9" t="s">
        <v>268</v>
      </c>
      <c r="E174" s="9" t="s">
        <v>518</v>
      </c>
      <c r="F174" s="9" t="s">
        <v>519</v>
      </c>
      <c r="G174" s="9">
        <v>223014007</v>
      </c>
      <c r="H174" s="9" t="s">
        <v>51</v>
      </c>
      <c r="I174" s="9" t="s">
        <v>247</v>
      </c>
      <c r="J174" s="9" t="s">
        <v>243</v>
      </c>
      <c r="K174" s="9" t="s">
        <v>27</v>
      </c>
      <c r="L174" s="9" t="e">
        <f>VLOOKUP(J174,#REF!,2,FALSE)</f>
        <v>#REF!</v>
      </c>
      <c r="N174" s="11" t="s">
        <v>28</v>
      </c>
      <c r="P174" s="13" t="s">
        <v>28</v>
      </c>
      <c r="Q174" s="13" t="s">
        <v>28</v>
      </c>
      <c r="R174" s="14" t="e">
        <v>#N/A</v>
      </c>
      <c r="S174" s="14" t="e">
        <f>VLOOKUP(I174,#REF!,2,FALSE)</f>
        <v>#REF!</v>
      </c>
      <c r="T174" s="14" t="e">
        <f t="shared" si="2"/>
        <v>#N/A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Hoskins, Adriana</dc:creator>
  <cp:lastModifiedBy>Hoskins, Adriana</cp:lastModifiedBy>
  <dcterms:created xsi:type="dcterms:W3CDTF">2026-03-11T23:39:48Z</dcterms:created>
  <dcterms:modified xsi:type="dcterms:W3CDTF">2026-03-12T00:31:40Z</dcterms:modified>
</cp:coreProperties>
</file>